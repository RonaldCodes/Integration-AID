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390" windowWidth="14940" windowHeight="7755" tabRatio="949"/>
  </bookViews>
  <sheets>
    <sheet name="SA Linked Stores" sheetId="5" r:id="rId1"/>
    <sheet name=".masterdata" sheetId="8" state="hidden" r:id="rId2"/>
    <sheet name="Masterdata" sheetId="7" state="hidden" r:id="rId3"/>
    <sheet name="Cambridge." sheetId="9" state="hidden" r:id="rId4"/>
    <sheet name="Sheet1" sheetId="10" state="hidden" r:id="rId5"/>
  </sheets>
  <definedNames>
    <definedName name="_xlnm._FilterDatabase" localSheetId="0" hidden="1">'SA Linked Stores'!$D$1:$D$137</definedName>
    <definedName name="_xlnm.Print_Area" localSheetId="0">'SA Linked Stores'!$B$1:$G$65</definedName>
  </definedNames>
  <calcPr calcId="145621"/>
</workbook>
</file>

<file path=xl/calcChain.xml><?xml version="1.0" encoding="utf-8"?>
<calcChain xmlns="http://schemas.openxmlformats.org/spreadsheetml/2006/main">
  <c r="J107" i="5" l="1"/>
  <c r="J108" i="5"/>
  <c r="J109" i="5"/>
  <c r="J110" i="5"/>
  <c r="J111" i="5"/>
  <c r="J112" i="5"/>
  <c r="J113" i="5"/>
  <c r="J114" i="5"/>
  <c r="I107" i="5"/>
  <c r="I108" i="5"/>
  <c r="I109" i="5"/>
  <c r="I110" i="5"/>
  <c r="I111" i="5"/>
  <c r="I112" i="5"/>
  <c r="I113" i="5"/>
  <c r="I114" i="5"/>
  <c r="J4" i="5" l="1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3" i="5"/>
  <c r="I4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3" i="5"/>
  <c r="B6" i="8" l="1"/>
  <c r="F13" i="7" l="1"/>
  <c r="F8" i="7"/>
  <c r="F3" i="7"/>
</calcChain>
</file>

<file path=xl/sharedStrings.xml><?xml version="1.0" encoding="utf-8"?>
<sst xmlns="http://schemas.openxmlformats.org/spreadsheetml/2006/main" count="1118" uniqueCount="517">
  <si>
    <t>MASSCASH CENTRAL SERVICES  - KZN</t>
  </si>
  <si>
    <t>20 Surprise Road, Westmead 3610, KZN</t>
  </si>
  <si>
    <t>MASSCASH CENTRAL SERVICES - GAUTENG &amp; SHEILD</t>
  </si>
  <si>
    <t xml:space="preserve">19 Girton Road, Parktown, JHB </t>
  </si>
  <si>
    <t>LUSIKISIKI CASH AND CARRY</t>
  </si>
  <si>
    <t>Main street, Lusikisiki, Eastern Cape, 4820</t>
  </si>
  <si>
    <t>TG’S CASH AND CARRY PTY LTD</t>
  </si>
  <si>
    <t xml:space="preserve">4 Nqcwabe Street, Mount Frere, E.C, 4870 </t>
  </si>
  <si>
    <t>Cnr High and Jagger Street, Matatiele, 4730</t>
  </si>
  <si>
    <t>THEMBANI WHOLESALERS PTY LTD</t>
  </si>
  <si>
    <t xml:space="preserve">Errol Spring Road, Vulendela Heights, Umtata, </t>
  </si>
  <si>
    <t>EMSENGENI CASH &amp; CARRY</t>
  </si>
  <si>
    <t xml:space="preserve">Main Road, Willowvale, Eastern Cape </t>
  </si>
  <si>
    <t>33 St Paul Road, East London, 5200</t>
  </si>
  <si>
    <t>108 Buffalo Road, Kingwilliamstown</t>
  </si>
  <si>
    <t>VRYHEID CASH AND CARRY</t>
  </si>
  <si>
    <t>Cnr Mark and Mayson Road, Vryheid, 3100</t>
  </si>
  <si>
    <t>ULUNDI CASH AND CARRY</t>
  </si>
  <si>
    <t>BA 42 Princess Makabayi Street, Ulundi, 3835</t>
  </si>
  <si>
    <t>Lot 48/51, Knutzen Street, Empangeni, 3880</t>
  </si>
  <si>
    <t>VEREENIGING CASH AND CARRY PTY LTD</t>
  </si>
  <si>
    <t>Corner Beaconfield and Van Riebeeck Street, 1939</t>
  </si>
  <si>
    <t>Shop 21, Roodepoort Plaza</t>
  </si>
  <si>
    <t xml:space="preserve">No 2 Electron, Manufacta, Roodepoort </t>
  </si>
  <si>
    <t>SUPER JUMBO BLOEMFONTEIN</t>
  </si>
  <si>
    <t>Church Street/ Union Street, Engcobo, 5050</t>
  </si>
  <si>
    <t>7 Van Riebeeck Street, Maclear, 5480</t>
  </si>
  <si>
    <t>WEIRS EAST LONDON</t>
  </si>
  <si>
    <t>WEIRS MACLEAR</t>
  </si>
  <si>
    <t>WEIRS KING WILLIAMS TOWN</t>
  </si>
  <si>
    <t>WEIRS ENGCOBO</t>
  </si>
  <si>
    <t>SUNSHINE POWERSAVE PTY LTD T/A SUNSHINE PLAZA</t>
  </si>
  <si>
    <t>SUNSHINE POWERSAVE PTY LTD T/A SUNSHINE ELECTRON</t>
  </si>
  <si>
    <t xml:space="preserve">WEIRS MTHATHA </t>
  </si>
  <si>
    <t>BROWNS MATATIELE</t>
  </si>
  <si>
    <t>BROWNS EMPANGENI</t>
  </si>
  <si>
    <t xml:space="preserve">Northern KZN </t>
  </si>
  <si>
    <t xml:space="preserve">Nr. </t>
  </si>
  <si>
    <t xml:space="preserve">Store Name </t>
  </si>
  <si>
    <t xml:space="preserve">Physical Address </t>
  </si>
  <si>
    <t xml:space="preserve">H/O </t>
  </si>
  <si>
    <t xml:space="preserve">Eastern Cape </t>
  </si>
  <si>
    <t>DBN CBD</t>
  </si>
  <si>
    <t>South West KZN</t>
  </si>
  <si>
    <t xml:space="preserve">East Eastern Cape </t>
  </si>
  <si>
    <t xml:space="preserve">Cape Town </t>
  </si>
  <si>
    <t xml:space="preserve">Correct Province : Comments </t>
  </si>
  <si>
    <t>Gauteng</t>
  </si>
  <si>
    <t>Roodepoort-Gauteng</t>
  </si>
  <si>
    <t>Free Sate</t>
  </si>
  <si>
    <t>Bloemfontein</t>
  </si>
  <si>
    <t>West DBN-Pinetown</t>
  </si>
  <si>
    <t>North of DBN</t>
  </si>
  <si>
    <t>Empangeni-KZN</t>
  </si>
  <si>
    <t>Mthubatuba-KZN</t>
  </si>
  <si>
    <t>Ulundi KZN</t>
  </si>
  <si>
    <t>Nongoma KZN</t>
  </si>
  <si>
    <t>Nqutu KZN</t>
  </si>
  <si>
    <t>Empangeni KZN</t>
  </si>
  <si>
    <t>KZN</t>
  </si>
  <si>
    <t>Africa</t>
  </si>
  <si>
    <t>Jumbo and CBW-JUMBO SUNSHINE</t>
  </si>
  <si>
    <t>Jumbo and CBW-Sunshine Cash &amp; Carry Electron</t>
  </si>
  <si>
    <t>Jumbo and CBW-PRETORIA WEST CASH AND CARRY</t>
  </si>
  <si>
    <t>Jumbo and CBW-SPRINGS CASH &amp; CARRY</t>
  </si>
  <si>
    <t>Jumbo and CBW-JUMBO CROWN MINES</t>
  </si>
  <si>
    <t>Cambridge Klerpsdorp</t>
  </si>
  <si>
    <t>Cambridge Evaton</t>
  </si>
  <si>
    <t>Cambridge Bara</t>
  </si>
  <si>
    <t>Cambridge Newgate</t>
  </si>
  <si>
    <t>Cambridge De Villiers</t>
  </si>
  <si>
    <t>Cambridge Hillbrow</t>
  </si>
  <si>
    <t>Cambridge Kempstar Mall</t>
  </si>
  <si>
    <t>Cambridge Randburg</t>
  </si>
  <si>
    <t>Cambridge Tembisa</t>
  </si>
  <si>
    <t>Cambridge Cosmo City</t>
  </si>
  <si>
    <t>Cambridge Bloed Street</t>
  </si>
  <si>
    <t>Cambridge Nelspruit</t>
  </si>
  <si>
    <t>Cambridge Seshego</t>
  </si>
  <si>
    <t>Cambridge Vosloorus</t>
  </si>
  <si>
    <t>Cambridge Witbank</t>
  </si>
  <si>
    <t>Cnr. Olivier and Jeppe Street, Roodepoort</t>
  </si>
  <si>
    <t>No 2 Electron Street, Manufacta, Roodepoort</t>
  </si>
  <si>
    <t>HALL NO. 2, JOHANNESBURG FRESH PRODUCE MARKET, 1 HEIDELBURG ROAD, CITY DEEP</t>
  </si>
  <si>
    <t>1599 VAN DER HOFF STREET, ZANFONTEIN, PRETORIA</t>
  </si>
  <si>
    <t>CNR GOLD AND INDUSTRY STREET, NEW ERA, SPRINGS</t>
  </si>
  <si>
    <t>CNR CROWNWOOD &amp; MAIN REEF ROAD, CROWN MINES, 2025</t>
  </si>
  <si>
    <t>City Mall, Church Street, Klerksdorp</t>
  </si>
  <si>
    <t>Cnr Lombard Mbatha Street &amp; Max, Evaton  (Adjacent to Golden Highway)</t>
  </si>
  <si>
    <t>Stand 24459, Kakwena Street, Diepkloof Zone 6, Soweto</t>
  </si>
  <si>
    <t>Newgate Junction Cnr. Bree &amp; Ntumi Piliso Street, Newtown, Johannesburg</t>
  </si>
  <si>
    <t>42 De Villiers Street, Johannesburg Central</t>
  </si>
  <si>
    <t>Cnr. Pretoria and Edith Streets, Hillbrow</t>
  </si>
  <si>
    <t>Pretoria Street, Kempton Park</t>
  </si>
  <si>
    <t>Bram Fisher Drive, Ferndale, Randburg</t>
  </si>
  <si>
    <t>332 Cnr Modderfontein &amp; Mastiff Avenue, Commercia Ext 9, Midrand</t>
  </si>
  <si>
    <t>Cnr South Africa Drive &amp; United States of America Avenue (Erf 214), Cosmo City</t>
  </si>
  <si>
    <t>Scotts Corner, Cnr  Lillian Ngoyi &amp; Bloed Street, Pretoria</t>
  </si>
  <si>
    <t>Corner Curry and Bester Road, Nelspruit, CBD, Mpumalanga</t>
  </si>
  <si>
    <t>Erf 817/Portion 1, Cnr Ditlou &amp; F8 Street, Seshego, Polokwane</t>
  </si>
  <si>
    <t>Cnr. Bierman &amp; M.C. Botha Streets, Vosloorus</t>
  </si>
  <si>
    <t>Shop No 38, Highland Mews Shopping Centre, Cnr Theunis Jansen&amp; Hans Strydom, Witbank</t>
  </si>
  <si>
    <t>CBW KAFUE RD. LUSAKA (JUMBO)</t>
  </si>
  <si>
    <t>L7298/M Kafue Road, Makeni, Lusaka, Zambia</t>
  </si>
  <si>
    <t>SAVERITE XAI XAI</t>
  </si>
  <si>
    <t>RUA MAGNIGUANA XAI-XAI DISTRICT</t>
  </si>
  <si>
    <t>BROWNS &amp; WEIRS CASH &amp; CARRY - BUTTERWORTH</t>
  </si>
  <si>
    <t>BROADSWORD ROAD, ZITHULELE INDUSTRIAL AREA, BUTTERWORTH, E.C, 4960</t>
  </si>
  <si>
    <t>BROWNS &amp; WEIRS CASH &amp; CARRY - ENGCOBO</t>
  </si>
  <si>
    <t>CHURCH STREET, ENGCOBO, 5050</t>
  </si>
  <si>
    <t>BROWNS &amp; WEIRS CASH &amp; CARRY - IDUTYWA</t>
  </si>
  <si>
    <t>WARNER STREET, IDUTYWA, 5000</t>
  </si>
  <si>
    <t>BROWNS &amp; WEIRS CASH &amp; CARRY - KING WILLIAMS TOWN</t>
  </si>
  <si>
    <t>108 BUFFALO ROAD, KING WILLIAMS TOWN, 5600</t>
  </si>
  <si>
    <t>BROWNS &amp; WEIRS CASH &amp; CARRY - MACLEAR</t>
  </si>
  <si>
    <t>7 VAN RIEBEECK STREET, MACLEAR, 6480</t>
  </si>
  <si>
    <t>BROWNS &amp; WEIRS CASH &amp; CARRY - MOUNT FRERE</t>
  </si>
  <si>
    <t>MAIN STREET, MOUNT FRERE, 5090</t>
  </si>
  <si>
    <t>BROWNS &amp; WEIRS CASH &amp; CARRY - QUEENSTOWN</t>
  </si>
  <si>
    <t>11 POPE STREET, QUEENSTOWN, 5320</t>
  </si>
  <si>
    <t>BROWNS &amp; WEIRS CASH &amp; CARRY - UMTATA</t>
  </si>
  <si>
    <t>ERROL SPRING ROAD, VULENDELA HEIGHTS, UMTATA</t>
  </si>
  <si>
    <t>MAIN STREET, NQAMAKWE, EASTERN CAPE, 4990</t>
  </si>
  <si>
    <t>JUMBO EAST LONDON</t>
  </si>
  <si>
    <t>Park Avenue, North End, East London</t>
  </si>
  <si>
    <t>RHINO CC BIZANA</t>
  </si>
  <si>
    <t>Shop 22, Bizana Square, Cnr Hospital &amp; church Road, Bizana</t>
  </si>
  <si>
    <t>RHINO CC EAST LONDON</t>
  </si>
  <si>
    <t>34 Buffalo Street, East London, 5201</t>
  </si>
  <si>
    <t>RHINO CC KING WILLIAMS TOWN</t>
  </si>
  <si>
    <t>20 Wellington Street, King Williams Town, Eastern Cape, 5601</t>
  </si>
  <si>
    <t>RHINO LUSIKISKI</t>
  </si>
  <si>
    <t>Cnr Main Road &amp; Deodar Lane, Erf 32&amp;Erf 164(Portion Erf33), Lusikisiki, 4820</t>
  </si>
  <si>
    <t>MATATIELE W/S</t>
  </si>
  <si>
    <t>C/O Green &amp; North Streets, Matatiele, 4730,</t>
  </si>
  <si>
    <t>RHINO MATATIELE</t>
  </si>
  <si>
    <t>Shop 8, Rhino Plaza, Matatiele, 4730</t>
  </si>
  <si>
    <t>RHINO MDANTSANE</t>
  </si>
  <si>
    <t>LA Phumilanga Shopping Comp., ERF 10015, Corner of Sandile Road &amp; Saule, Drive, Mdantsane, 5219</t>
  </si>
  <si>
    <t>RHINO MTHATHA</t>
  </si>
  <si>
    <t>Block F, Shop 10, Mthatha Stadium Plaza, 35 Nelson Mandela Drive, Mthatha, 5100</t>
  </si>
  <si>
    <t>RHINO CC PORT SHEPSTONE</t>
  </si>
  <si>
    <t>Shop 4, Ithala Centre, Port Shepstone, 4240</t>
  </si>
  <si>
    <t>RHINO CC QUMBU</t>
  </si>
  <si>
    <t>1695 Main Street, Qumbu, 5180</t>
  </si>
  <si>
    <t>RHINO CC FLAGSTAFF</t>
  </si>
  <si>
    <t>40 Main Street, Flagstaff, 4810</t>
  </si>
  <si>
    <t>RHINO CC MT FRERE</t>
  </si>
  <si>
    <t>224 Madzikane Road, Mount Frere, Eastern Cape</t>
  </si>
  <si>
    <t>Botshabelo</t>
  </si>
  <si>
    <t>Addy's Plaza, Shop No 5, Botshabelo</t>
  </si>
  <si>
    <t>Thaba Nchu</t>
  </si>
  <si>
    <t>2 Main Street, Thaba Nchu</t>
  </si>
  <si>
    <t>Ladybrand</t>
  </si>
  <si>
    <t>Cnr. Dan Pienaar &amp; Joubert Street, Ladybrand</t>
  </si>
  <si>
    <t>Lemo Mall</t>
  </si>
  <si>
    <t>Cnr Dr. Belcher &amp; M10, Manguang, Bloemfontein</t>
  </si>
  <si>
    <t>Powersave</t>
  </si>
  <si>
    <t>11 Peet Ave, Bloemfontein CBD</t>
  </si>
  <si>
    <t>Savemore</t>
  </si>
  <si>
    <t>3 Fichardt Street, Bloemfontein CBD</t>
  </si>
  <si>
    <t>Kimberley</t>
  </si>
  <si>
    <t>Cnr. Jones &amp; Currey &amp; Chapel  Streets, Kimberley CBD</t>
  </si>
  <si>
    <t>RHINO CC EDENDALE</t>
  </si>
  <si>
    <t>RHINO CC HARDING</t>
  </si>
  <si>
    <t>RHINO KOKSTAD</t>
  </si>
  <si>
    <t>RHINO MTUBATUBA</t>
  </si>
  <si>
    <t>RHINO NKANDLA</t>
  </si>
  <si>
    <t>RHINO PMB</t>
  </si>
  <si>
    <t>RHINO CC ULUNDI</t>
  </si>
  <si>
    <t>RHINO CC UMLAZI</t>
  </si>
  <si>
    <t>RHINO CC UMZIMKULU</t>
  </si>
  <si>
    <t>RHINO CC UMZINTO</t>
  </si>
  <si>
    <t>Jumbo and CBW-BROWNS &amp; WEIRS CASH &amp; CARRY - ESHOWE</t>
  </si>
  <si>
    <t>Jumbo and CBW-BROWNS &amp; WEIRS CASH &amp; CARRY - NONGOMA</t>
  </si>
  <si>
    <t>Jumbo and CBW-BROWNS &amp; WEIRS CASH &amp; CARRY - NQUTU</t>
  </si>
  <si>
    <t>Jumbo and CBW-EMPANGENI CASH &amp; CARRY</t>
  </si>
  <si>
    <t>Jumbo and CBW-T'Junction CASH &amp; CARRY</t>
  </si>
  <si>
    <t>Jumbo and CBW-MANGUZI CASH &amp; CARRY</t>
  </si>
  <si>
    <t>Jumbo and CBW-MTUBATUBA CASH &amp; CARRY</t>
  </si>
  <si>
    <t>Jumbo and CBW-VRYHEID CASH &amp; CARRY</t>
  </si>
  <si>
    <t>Jumbo and CBW-WESTMEAD CASH &amp; CARRY</t>
  </si>
  <si>
    <t>Jumbo and CBW-JUMBO DURBAN</t>
  </si>
  <si>
    <t>Cambridge-Berea</t>
  </si>
  <si>
    <t>Cambridge-Umgeni</t>
  </si>
  <si>
    <t>Cambridge-Pinetown</t>
  </si>
  <si>
    <t>Cambridge-Rank</t>
  </si>
  <si>
    <t>Cambridge-Crossing</t>
  </si>
  <si>
    <t>Cambridge-Nquthu</t>
  </si>
  <si>
    <t>Cambridge-Warwick</t>
  </si>
  <si>
    <t>Cambridge-Pietermaritzburg</t>
  </si>
  <si>
    <t>Cambridge-Richards Bay</t>
  </si>
  <si>
    <t>Cambridge-Newcastle</t>
  </si>
  <si>
    <t>Cambridge-Empangeni</t>
  </si>
  <si>
    <t>Cambridge-KwaMashu</t>
  </si>
  <si>
    <t>Cambridge-Nongoma</t>
  </si>
  <si>
    <t>Cambridge-Jozini</t>
  </si>
  <si>
    <t>Cambridge-Eshowe</t>
  </si>
  <si>
    <t>Cambridge-Pinetown Link</t>
  </si>
  <si>
    <t>Cambridge-Ladysmith</t>
  </si>
  <si>
    <t>Cambridge-Manguzi</t>
  </si>
  <si>
    <t>2 HELY CRESCENT (OFF BROCKWEL), ESHOWE, 3815</t>
  </si>
  <si>
    <t>MAIN STREET, NONGOMA, 3950</t>
  </si>
  <si>
    <t>1 HLUBE STREET, NQUTU, 3135</t>
  </si>
  <si>
    <t>LOT 22/23, 4TH STREET, KULEKA TOWNSHIP</t>
  </si>
  <si>
    <t>INTERSECTION OF INGWAVUMA &amp; MANGUZI ROAD, EZIMPISINI, 3976</t>
  </si>
  <si>
    <t>MAIN STREET, MANGUZI</t>
  </si>
  <si>
    <t>LOT 14 JACARANDA AVENUE, MTUBATUBA, 3935</t>
  </si>
  <si>
    <t>CNR MARK AND MASON ROAD, VRYHEID, 3100</t>
  </si>
  <si>
    <t>12/16 GOODWOOD ROAD, WESTMEAD</t>
  </si>
  <si>
    <t>96 BRICKHILL ROAD, DURBAN</t>
  </si>
  <si>
    <t>Unit R6 No 7 4th Street, Kuleka Township, Empangeni</t>
  </si>
  <si>
    <t>7 Brooke Street, Berea Station, Durban</t>
  </si>
  <si>
    <t>Shop 14, Cambridge Centre, 251 Umgeni Road, Durban</t>
  </si>
  <si>
    <t>Shop 2, Reins Centre, Cnr. Anderson Stansfield Lane &amp; Hill Street, Pinetown</t>
  </si>
  <si>
    <t>Cnr Julius Nyerere &amp; Canongate Road, Berea</t>
  </si>
  <si>
    <t>150 Old Main Road, Isipingo</t>
  </si>
  <si>
    <t>Cnr Manolwandile &amp; Isandlwana Road (Erf 2471 &amp; 2473) Nquthu Township</t>
  </si>
  <si>
    <t>Cnr Julius Nyerere &amp; Market Street, Berea</t>
  </si>
  <si>
    <t>420 Pietermaritzburg street, Pietermaritzburg, 3200</t>
  </si>
  <si>
    <t xml:space="preserve">Cnr Penny Lane &amp; Mark Strasse Street, Richards Bay </t>
  </si>
  <si>
    <t>34 Scott Street, Newcastle</t>
  </si>
  <si>
    <t>Cnr Main Road &amp; Biyela Street, Empangeni</t>
  </si>
  <si>
    <t>20 Malandela Road, KwaMashu</t>
  </si>
  <si>
    <t>Lot 15, Old Main Road, Nongoma</t>
  </si>
  <si>
    <t>522/1 Jozini Main Road, Jozini</t>
  </si>
  <si>
    <t>17 Old Main Road, Eshowe</t>
  </si>
  <si>
    <t>21 Josiah Gumede Road, The Link Centre, Pinetown</t>
  </si>
  <si>
    <t>92 Leyll Street, Ladysmith</t>
  </si>
  <si>
    <t>Cnr R22 Highway &amp; Kelekele Street, Manguzi</t>
  </si>
  <si>
    <t>Rhino Centre, Shop 14, Bakers Mall, 20 Selby Msimang Road, Edendale</t>
  </si>
  <si>
    <t>Shop 1, Ithala Centre, Musgrave Street, Harding</t>
  </si>
  <si>
    <t>Shop  15, Main Street, Kokstad, 4700</t>
  </si>
  <si>
    <t>Shop 1, Spring Township S/Centre, Hibiscus Road, Mtubatuba</t>
  </si>
  <si>
    <t>28 Main Road, Nkandla, Kwazulu Natal</t>
  </si>
  <si>
    <t>420 Pietermaritz Street, Pietermaritzburg, 3201</t>
  </si>
  <si>
    <t>Rhino Centre, Shop 1, Ugqikazi Street, Ulundi, 3838</t>
  </si>
  <si>
    <t>Shop L1 &amp;129, Ithala Centre, W-Section, Umlazi</t>
  </si>
  <si>
    <t>Shop 1, Rhino Plaza, Umzimkulu, 3297</t>
  </si>
  <si>
    <t>Main Street, Umzinto , 4200</t>
  </si>
  <si>
    <t>erf 29340, 7th Ave, between Symphony Walk &amp; Harmony Sq, Town Centre, Mitchells Plain</t>
  </si>
  <si>
    <t>GAUTENG MDD RDC</t>
  </si>
  <si>
    <t>KZN MDD RDC</t>
  </si>
  <si>
    <t>WHOLESALE</t>
  </si>
  <si>
    <t>RETAIL</t>
  </si>
  <si>
    <t>Roodepoort-GAUTENG</t>
  </si>
  <si>
    <t>Pretoria-GAUTENG</t>
  </si>
  <si>
    <t>Spring-GAUTENG</t>
  </si>
  <si>
    <t>Mpumalanga-GAUTENG</t>
  </si>
  <si>
    <t>Polokwane-GAUTENG</t>
  </si>
  <si>
    <t>Eshowe-KZN</t>
  </si>
  <si>
    <t>Nongoma-KZN</t>
  </si>
  <si>
    <t>Manguzi-KZN</t>
  </si>
  <si>
    <t>Edendale-PMB-KZN</t>
  </si>
  <si>
    <t>Kokstad-KZN</t>
  </si>
  <si>
    <t>Klerkpsdorp-GAUTENG</t>
  </si>
  <si>
    <t>Evaton-GAUTENG</t>
  </si>
  <si>
    <t>Newgate-GAUTENG</t>
  </si>
  <si>
    <t>De Villiers-GAUTENG</t>
  </si>
  <si>
    <t>Hillbrow-GAUTENG</t>
  </si>
  <si>
    <t>Randburg-GAUTENG</t>
  </si>
  <si>
    <t>Tembisa-GAUTENG</t>
  </si>
  <si>
    <t>Cosmo City-GAUTENG</t>
  </si>
  <si>
    <t>Vosloorus-GAUTENG</t>
  </si>
  <si>
    <t>Witbank-GAUTENG</t>
  </si>
  <si>
    <t>Crown Mines-GAUTENG</t>
  </si>
  <si>
    <t>Kempton Park-GAUTENG</t>
  </si>
  <si>
    <t>Soweto-GAUTENG</t>
  </si>
  <si>
    <t xml:space="preserve">Engcobo-Eastern Cape </t>
  </si>
  <si>
    <t xml:space="preserve">Idutywa-Eastern Cape </t>
  </si>
  <si>
    <t xml:space="preserve">King Williams Town-Eastern Cape </t>
  </si>
  <si>
    <t xml:space="preserve">Maclear-Eastern Cape </t>
  </si>
  <si>
    <t xml:space="preserve">Frere-Eastern Cape </t>
  </si>
  <si>
    <t xml:space="preserve">Queenstown-Eastern Cape </t>
  </si>
  <si>
    <t xml:space="preserve">Umtata-Eastern Cape </t>
  </si>
  <si>
    <t xml:space="preserve">Matatiele-Eastern Cape </t>
  </si>
  <si>
    <t>DBN-KZN</t>
  </si>
  <si>
    <t>Berea-KZN</t>
  </si>
  <si>
    <t>Pinetown-KZN</t>
  </si>
  <si>
    <t>Isipingo-KZN</t>
  </si>
  <si>
    <t>Nquthu-KZN</t>
  </si>
  <si>
    <t>PMB-KZN</t>
  </si>
  <si>
    <t>Richards Bay-KZN</t>
  </si>
  <si>
    <t>Kwa Mashu-KZN</t>
  </si>
  <si>
    <t>Jozini-KZN</t>
  </si>
  <si>
    <t>Harding-KZN</t>
  </si>
  <si>
    <t>Mthubathuba-KZN</t>
  </si>
  <si>
    <t>Ulundi-KZN</t>
  </si>
  <si>
    <t>Umlazi-KZN</t>
  </si>
  <si>
    <t>Umzimkulu-KZN</t>
  </si>
  <si>
    <t>Umzinto-KZN</t>
  </si>
  <si>
    <t>Wholesale Stores</t>
  </si>
  <si>
    <t>Retail Stores</t>
  </si>
  <si>
    <t>Linked to RDC</t>
  </si>
  <si>
    <t>Not Linked to RDC</t>
  </si>
  <si>
    <t>Total Stores</t>
  </si>
  <si>
    <t>CPT</t>
  </si>
  <si>
    <t>Stores</t>
  </si>
  <si>
    <t>RDC/DC Linked Stores</t>
  </si>
  <si>
    <t>Newcastle-Gauteng</t>
  </si>
  <si>
    <t>Ladysmith-Gauteng</t>
  </si>
  <si>
    <t>Vryheid-Gauteng</t>
  </si>
  <si>
    <t>Store Number</t>
  </si>
  <si>
    <t>CNR ALBERTINA SISULU AND,WILGESPRUIT ROADS, WESTGATE, ROODERPOORT</t>
  </si>
  <si>
    <t>Jumbo and CBW-SUNSHINE WESTGATE CC</t>
  </si>
  <si>
    <t>3020</t>
  </si>
  <si>
    <t>3019</t>
  </si>
  <si>
    <t>4035</t>
  </si>
  <si>
    <t>4044</t>
  </si>
  <si>
    <t>4049</t>
  </si>
  <si>
    <t>4075</t>
  </si>
  <si>
    <t>3 Emerald Street, Carletonville, Merafong City, 2499</t>
  </si>
  <si>
    <t>Cambridge Carletonville</t>
  </si>
  <si>
    <t>Carletonville, Merafong City-Gauteng</t>
  </si>
  <si>
    <t>4003</t>
  </si>
  <si>
    <t>4006</t>
  </si>
  <si>
    <t>4009</t>
  </si>
  <si>
    <t>4010</t>
  </si>
  <si>
    <t>4012</t>
  </si>
  <si>
    <t>4019</t>
  </si>
  <si>
    <t>4020</t>
  </si>
  <si>
    <t>4026</t>
  </si>
  <si>
    <t>4051</t>
  </si>
  <si>
    <t>4092</t>
  </si>
  <si>
    <t>4002</t>
  </si>
  <si>
    <t>BROWNS &amp; WEIRS CASH &amp; CARRY - BIZANA</t>
  </si>
  <si>
    <t>30 MAIN STREET, BIZANA, EASTERN CAPE, 4800</t>
  </si>
  <si>
    <t>4011</t>
  </si>
  <si>
    <t>BROWNS &amp; WEIRS CASH &amp; CARRY - LUSIKISIKI</t>
  </si>
  <si>
    <t>JACARANDA ROAD, LUSIKISIKI, EASTERN CAPE, 4820</t>
  </si>
  <si>
    <t>eastern cape</t>
  </si>
  <si>
    <t>4007</t>
  </si>
  <si>
    <t>4016</t>
  </si>
  <si>
    <t>4017</t>
  </si>
  <si>
    <t>4024</t>
  </si>
  <si>
    <t>4033</t>
  </si>
  <si>
    <t>4034</t>
  </si>
  <si>
    <t>4037</t>
  </si>
  <si>
    <t>4060</t>
  </si>
  <si>
    <t>4076</t>
  </si>
  <si>
    <t>4090</t>
  </si>
  <si>
    <t>4023</t>
  </si>
  <si>
    <t>4036</t>
  </si>
  <si>
    <t>4041</t>
  </si>
  <si>
    <t>4077</t>
  </si>
  <si>
    <t>4078</t>
  </si>
  <si>
    <t>4028</t>
  </si>
  <si>
    <t>30 GRAHAMSTOWN ROAD, SYDENHAM, NORTH END, PORT ELIZABETH</t>
  </si>
  <si>
    <t>Gauteng RDC</t>
  </si>
  <si>
    <t>Jumbo</t>
  </si>
  <si>
    <t>Cambridge</t>
  </si>
  <si>
    <t>Gauteng Stores</t>
  </si>
  <si>
    <t>KZN Stores</t>
  </si>
  <si>
    <t>Rhino</t>
  </si>
  <si>
    <t>Cape Stores</t>
  </si>
  <si>
    <t>KZN RDC</t>
  </si>
  <si>
    <t>Switched on Stores</t>
  </si>
  <si>
    <t>DC's</t>
  </si>
  <si>
    <t xml:space="preserve">To be switched on </t>
  </si>
  <si>
    <t>Africa Stores</t>
  </si>
  <si>
    <t xml:space="preserve">Cambridge </t>
  </si>
  <si>
    <t>Chain</t>
  </si>
  <si>
    <t>Region</t>
  </si>
  <si>
    <t>Store Name</t>
  </si>
  <si>
    <t>Physical Address</t>
  </si>
  <si>
    <t>GPS - Latitude</t>
  </si>
  <si>
    <t>GPS - Longitude</t>
  </si>
  <si>
    <t>WESTERN CAPE</t>
  </si>
  <si>
    <t>Mitchells Plain</t>
  </si>
  <si>
    <t>KWAZULU NATAL</t>
  </si>
  <si>
    <t>Berea</t>
  </si>
  <si>
    <t>Umgeni</t>
  </si>
  <si>
    <t>Pinetown</t>
  </si>
  <si>
    <t>Rank</t>
  </si>
  <si>
    <t>Crossing</t>
  </si>
  <si>
    <t>Nquthu</t>
  </si>
  <si>
    <t>Warwick</t>
  </si>
  <si>
    <t>Pietermaritzburg</t>
  </si>
  <si>
    <t>FREE STATE</t>
  </si>
  <si>
    <t>Richards Bay</t>
  </si>
  <si>
    <t>Newcastle</t>
  </si>
  <si>
    <t>Empangeni</t>
  </si>
  <si>
    <t>KwaMashu</t>
  </si>
  <si>
    <t>Nongoma</t>
  </si>
  <si>
    <t>Jozini</t>
  </si>
  <si>
    <t>GAUTENG</t>
  </si>
  <si>
    <t>Klerksdorp</t>
  </si>
  <si>
    <t>Evaton</t>
  </si>
  <si>
    <t>Protea Glen</t>
  </si>
  <si>
    <t>Protea Glen Boulevard &amp;  R588 (Erf 3702) Protea glen, Soweto</t>
  </si>
  <si>
    <t xml:space="preserve">Bara </t>
  </si>
  <si>
    <t>Newgate</t>
  </si>
  <si>
    <t>De Villiers</t>
  </si>
  <si>
    <t>Hillbrow</t>
  </si>
  <si>
    <t>Kempstar Mall</t>
  </si>
  <si>
    <t>Randburg</t>
  </si>
  <si>
    <t>Tembisa</t>
  </si>
  <si>
    <t>Cosmo City</t>
  </si>
  <si>
    <t>Bloed Street</t>
  </si>
  <si>
    <t>Nelspruit</t>
  </si>
  <si>
    <t>Seshego</t>
  </si>
  <si>
    <t>Vosloorus</t>
  </si>
  <si>
    <t>Witbank</t>
  </si>
  <si>
    <t>Eshowe</t>
  </si>
  <si>
    <t>Pinetown Link</t>
  </si>
  <si>
    <t>Ladysmith</t>
  </si>
  <si>
    <t>Manguzi</t>
  </si>
  <si>
    <t>Jumbo and CBW</t>
  </si>
  <si>
    <t>AFRICA</t>
  </si>
  <si>
    <t>JUMBO SUNSHINE</t>
  </si>
  <si>
    <t>Sunshine Cash &amp; Carry Electron</t>
  </si>
  <si>
    <t>3035</t>
  </si>
  <si>
    <t>EASTERN CAPE</t>
  </si>
  <si>
    <t>BROWNS &amp; WEIRS CASH &amp; CARRY - ESHOWE</t>
  </si>
  <si>
    <t>4013</t>
  </si>
  <si>
    <t>BROWNS &amp; WEIRS CASH &amp; CARRY - MATATIELE</t>
  </si>
  <si>
    <t>CNR HIGH AND JAGGER STREET, MATATIELE, 4730</t>
  </si>
  <si>
    <t>4015</t>
  </si>
  <si>
    <t>BROWNS &amp; WEIRS CASH &amp; CARRY - NONGOMA</t>
  </si>
  <si>
    <t>BROWNS &amp; WEIRS CASH &amp; CARRY - NQUTU</t>
  </si>
  <si>
    <t>DF SCOTT CASH &amp; CARRY</t>
  </si>
  <si>
    <t>SANDKRAAL ROAD, GEORGE INDUSTRIA</t>
  </si>
  <si>
    <t>EMPANGENI CASH &amp; CARRY</t>
  </si>
  <si>
    <t>Main Road, Willowvale</t>
  </si>
  <si>
    <t>4027</t>
  </si>
  <si>
    <t>FICKSBURG CASH &amp; CARRY</t>
  </si>
  <si>
    <t>12 INDUSTRIAL ROAD, FICKSBURG, 9730</t>
  </si>
  <si>
    <t>FINRO CASH AND CARRY PTY LTD Port Elizabeth</t>
  </si>
  <si>
    <t>MPUMALANGA</t>
  </si>
  <si>
    <t>4029</t>
  </si>
  <si>
    <t>HAZYVIEW CASH &amp; CARRY</t>
  </si>
  <si>
    <t>VISAREND STREET,NUMBI SHOPPING CENTRE, HAZYVIEW, 1242</t>
  </si>
  <si>
    <t>NORTHERN CAPE</t>
  </si>
  <si>
    <t>4030</t>
  </si>
  <si>
    <t>KIMBERLEY CASH AND CARRY</t>
  </si>
  <si>
    <t>4-6 CECILSUSSMAN DRIVE, KIMBERLEY NORTH 8301</t>
  </si>
  <si>
    <t>NORTH WEST</t>
  </si>
  <si>
    <t>4031</t>
  </si>
  <si>
    <t>KLERKSDORP CASH AND CARRY</t>
  </si>
  <si>
    <t>3 MERCURY ROAD, URANIANVILLE, KLERKSDORP, 2571</t>
  </si>
  <si>
    <t>4032</t>
  </si>
  <si>
    <t>LUSIKISIKI CASH &amp; CARRY</t>
  </si>
  <si>
    <t>MAIN STREET, LUSIKISIKI, EASTERN CAPE, 4820</t>
  </si>
  <si>
    <t>T'Junction CASH &amp; CARRY</t>
  </si>
  <si>
    <t>MANGUZI CASH &amp; CARRY</t>
  </si>
  <si>
    <t>MARKET CASH &amp; CARRY &amp; DRINKS LIQUOR</t>
  </si>
  <si>
    <t>MIKEVA CASH &amp; CARRY</t>
  </si>
  <si>
    <t>CNR LOUIS FOURIE &amp; MOSSEL STREET, HEIDERAND, MOSSEL BAY</t>
  </si>
  <si>
    <t>MTUBATUBA CASH &amp; CARRY</t>
  </si>
  <si>
    <t>4038</t>
  </si>
  <si>
    <t>NELSPRUIT CASH &amp; CARRY</t>
  </si>
  <si>
    <t>ELECTRO PARK, CNR LOCO RD AND BOSCH STR, VINTONIA EXT 5, NELSPRUIT</t>
  </si>
  <si>
    <t>PHILIPPI CASH &amp; CARRY</t>
  </si>
  <si>
    <t>7 PROTEA ROAD, PHILIPPI, CAPE TOWN</t>
  </si>
  <si>
    <t>4042</t>
  </si>
  <si>
    <t>PIET RETIEF LIQUORS</t>
  </si>
  <si>
    <t>20A Kerk Street, Piet Retief</t>
  </si>
  <si>
    <t>LIMPOPO</t>
  </si>
  <si>
    <t>4043</t>
  </si>
  <si>
    <t>POLOKWANE CASH &amp; CARRY</t>
  </si>
  <si>
    <t>32 A NIKKEL STREET, SUPERBIA, PIETERSBURG, 0700</t>
  </si>
  <si>
    <t>PRETORIA WEST CASH AND CARRY</t>
  </si>
  <si>
    <t>4045</t>
  </si>
  <si>
    <t>QWA QWA CASH &amp; CARRY</t>
  </si>
  <si>
    <t>SITE 122, AREA NO.3, PHUTHADITJHABA, 9866</t>
  </si>
  <si>
    <t>4048</t>
  </si>
  <si>
    <t>RUSTENBURG CASH &amp; CARRY</t>
  </si>
  <si>
    <t>90 VAN BELKUM STREET, RUSTENBURG, 0300</t>
  </si>
  <si>
    <t>SPRINGS CASH &amp; CARRY</t>
  </si>
  <si>
    <t>4052</t>
  </si>
  <si>
    <t>TRIDENT CASH &amp; CARRY</t>
  </si>
  <si>
    <t>71 Nelson Mandela, Mokopane</t>
  </si>
  <si>
    <t>4053</t>
  </si>
  <si>
    <t>TZANEEN CASH &amp; CARRY</t>
  </si>
  <si>
    <t>100 D CLAUDE WHEATLEY STREET, TZANEEN, 0850</t>
  </si>
  <si>
    <t>4056</t>
  </si>
  <si>
    <t>VRYBURG CASH &amp; CARRY</t>
  </si>
  <si>
    <t>31 CHURCH STREET, VRYBURG, 8601</t>
  </si>
  <si>
    <t>4057</t>
  </si>
  <si>
    <t>VRYHEID CASH &amp; CARRY</t>
  </si>
  <si>
    <t>4058</t>
  </si>
  <si>
    <t>VRYHEID LIQUOR</t>
  </si>
  <si>
    <t>251 MARKET STREET, VRYHEID, 3100</t>
  </si>
  <si>
    <t>4059</t>
  </si>
  <si>
    <t>WELKOM CASH &amp; CARRY</t>
  </si>
  <si>
    <t>17 TWAALDGESTRAAT STREET, WELKOM</t>
  </si>
  <si>
    <t>WESTMEAD CASH &amp; CARRY</t>
  </si>
  <si>
    <t>4061</t>
  </si>
  <si>
    <t>WITBANK CASH &amp; CARRY</t>
  </si>
  <si>
    <t>STAND 4776, KROMHOUT STREET, TOWNSHIP, WITBANK EXT 42, 1034</t>
  </si>
  <si>
    <t>JUMBO CROWN MINES</t>
  </si>
  <si>
    <t>JUMBO DURBAN</t>
  </si>
  <si>
    <t>JUMBO EPPING</t>
  </si>
  <si>
    <t>5 BOFORS CIRCLE, EPPING INDUSTRIAL 2, EPPING, 7460</t>
  </si>
  <si>
    <t>JUMBO OTTERY</t>
  </si>
  <si>
    <t>Cnr Govan Mbeki Road and Heinz Road, Ottery</t>
  </si>
  <si>
    <t>4089</t>
  </si>
  <si>
    <t>230 Church Street, Hamilton, BLOEMFONTEIN, 9301</t>
  </si>
  <si>
    <t>EMPANGENI LIQUORS</t>
  </si>
  <si>
    <t>4091</t>
  </si>
  <si>
    <t>UPINGTON CASH AND CARRY</t>
  </si>
  <si>
    <t xml:space="preserve"> Karakoel Street, Upington </t>
  </si>
  <si>
    <t>RHINO</t>
  </si>
  <si>
    <t>DF SCOTT CASH AND CARRY</t>
  </si>
  <si>
    <t>MIKEVA CASH AND CARRY</t>
  </si>
  <si>
    <t>JUMBO CASH AND CARRY EPPING</t>
  </si>
  <si>
    <t>JUMBO CASH AND CARRY OTTERY</t>
  </si>
  <si>
    <t>FINRO CASH AND CARRY</t>
  </si>
  <si>
    <t>Cambridge-MITCHELLES PLAIN</t>
  </si>
  <si>
    <t>Sandkraal Road George Industrial</t>
  </si>
  <si>
    <t>Cnr. Louis Fourie and Mossel Street Heiderand Mossel bay</t>
  </si>
  <si>
    <t>7 Protea Road, Philipi, Cape Town</t>
  </si>
  <si>
    <t>No. 5 Bofors Circle, Epping</t>
  </si>
  <si>
    <t>CNR Govan Mbeki and Heinz Road Ottery</t>
  </si>
  <si>
    <t>10 Park Avenue, North End, East London</t>
  </si>
  <si>
    <t>JUMBO MATATIELE W/S</t>
  </si>
  <si>
    <t>Western Cape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</si>
</sst>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name val="Calibri"/>
      <family val="2"/>
      <scheme val="minor"/>
    </font>
    <font>
      <sz val="11"/>
      <name val="Arial"/>
      <family val="2"/>
    </font>
    <font>
      <sz val="1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6" fillId="0" borderId="0"/>
    <xf numFmtId="0" fontId="1" fillId="0" borderId="0"/>
    <xf numFmtId="0" fontId="7" fillId="0" borderId="0"/>
  </cellStyleXfs>
  <cellXfs count="107">
    <xf numFmtId="0" fontId="0" fillId="0" borderId="0" xfId="0"/>
    <xf numFmtId="0" fontId="0" fillId="0" borderId="0" xfId="0" applyFont="1" applyBorder="1" applyAlignment="1"/>
    <xf numFmtId="1" fontId="0" fillId="0" borderId="0" xfId="0" applyNumberFormat="1" applyFont="1" applyBorder="1" applyAlignment="1">
      <alignment horizontal="left"/>
    </xf>
    <xf numFmtId="0" fontId="0" fillId="0" borderId="0" xfId="0" applyFont="1" applyBorder="1"/>
    <xf numFmtId="1" fontId="0" fillId="0" borderId="1" xfId="0" applyNumberFormat="1" applyFont="1" applyBorder="1" applyAlignment="1">
      <alignment horizontal="left" wrapText="1"/>
    </xf>
    <xf numFmtId="0" fontId="0" fillId="0" borderId="0" xfId="0" applyFont="1" applyFill="1" applyBorder="1" applyAlignment="1"/>
    <xf numFmtId="0" fontId="0" fillId="0" borderId="1" xfId="0" applyFont="1" applyFill="1" applyBorder="1" applyAlignment="1">
      <alignment horizontal="center" wrapText="1"/>
    </xf>
    <xf numFmtId="0" fontId="5" fillId="0" borderId="1" xfId="0" applyFont="1" applyBorder="1" applyAlignment="1">
      <alignment horizontal="left" wrapText="1"/>
    </xf>
    <xf numFmtId="1" fontId="5" fillId="0" borderId="1" xfId="0" applyNumberFormat="1" applyFont="1" applyBorder="1" applyAlignment="1">
      <alignment horizontal="left" wrapText="1"/>
    </xf>
    <xf numFmtId="0" fontId="5" fillId="0" borderId="1" xfId="0" applyFont="1" applyBorder="1" applyAlignment="1">
      <alignment wrapText="1"/>
    </xf>
    <xf numFmtId="1" fontId="0" fillId="2" borderId="1" xfId="0" applyNumberFormat="1" applyFont="1" applyFill="1" applyBorder="1" applyAlignment="1">
      <alignment horizontal="left" wrapText="1"/>
    </xf>
    <xf numFmtId="0" fontId="5" fillId="2" borderId="1" xfId="0" applyFont="1" applyFill="1" applyBorder="1" applyAlignment="1">
      <alignment wrapText="1"/>
    </xf>
    <xf numFmtId="0" fontId="0" fillId="0" borderId="1" xfId="0" applyFont="1" applyBorder="1" applyAlignment="1">
      <alignment horizontal="center" wrapText="1"/>
    </xf>
    <xf numFmtId="0" fontId="3" fillId="3" borderId="1" xfId="0" applyFont="1" applyFill="1" applyBorder="1" applyAlignment="1">
      <alignment horizontal="center" vertical="center"/>
    </xf>
    <xf numFmtId="1" fontId="0" fillId="0" borderId="1" xfId="0" applyNumberFormat="1" applyFont="1" applyFill="1" applyBorder="1" applyAlignment="1">
      <alignment horizontal="left" wrapText="1"/>
    </xf>
    <xf numFmtId="0" fontId="0" fillId="2" borderId="1" xfId="0" applyFont="1" applyFill="1" applyBorder="1" applyAlignment="1">
      <alignment horizontal="center" wrapText="1"/>
    </xf>
    <xf numFmtId="1" fontId="5" fillId="2" borderId="1" xfId="0" applyNumberFormat="1" applyFont="1" applyFill="1" applyBorder="1" applyAlignment="1">
      <alignment horizontal="left" wrapText="1"/>
    </xf>
    <xf numFmtId="0" fontId="3" fillId="3" borderId="1" xfId="0" applyFont="1" applyFill="1" applyBorder="1" applyAlignment="1">
      <alignment horizontal="left" vertical="center" wrapText="1"/>
    </xf>
    <xf numFmtId="0" fontId="0" fillId="0" borderId="1" xfId="0" applyFont="1" applyFill="1" applyBorder="1" applyAlignment="1">
      <alignment horizontal="left" vertical="center" wrapText="1"/>
    </xf>
    <xf numFmtId="0" fontId="0" fillId="2" borderId="1" xfId="0" applyFont="1" applyFill="1" applyBorder="1" applyAlignment="1">
      <alignment horizontal="left" vertical="center" wrapText="1"/>
    </xf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left" wrapText="1"/>
    </xf>
    <xf numFmtId="0" fontId="0" fillId="2" borderId="1" xfId="0" applyFont="1" applyFill="1" applyBorder="1" applyAlignment="1">
      <alignment horizontal="left" wrapText="1"/>
    </xf>
    <xf numFmtId="0" fontId="0" fillId="0" borderId="1" xfId="0" applyBorder="1"/>
    <xf numFmtId="0" fontId="4" fillId="5" borderId="1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 wrapText="1"/>
    </xf>
    <xf numFmtId="0" fontId="3" fillId="4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 wrapText="1"/>
    </xf>
    <xf numFmtId="0" fontId="0" fillId="3" borderId="1" xfId="0" applyFont="1" applyFill="1" applyBorder="1" applyAlignment="1">
      <alignment horizontal="center" wrapText="1"/>
    </xf>
    <xf numFmtId="0" fontId="0" fillId="0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3" borderId="1" xfId="0" applyFont="1" applyFill="1" applyBorder="1" applyAlignment="1">
      <alignment horizontal="center" wrapText="1"/>
    </xf>
    <xf numFmtId="0" fontId="5" fillId="2" borderId="1" xfId="0" applyFont="1" applyFill="1" applyBorder="1" applyAlignment="1">
      <alignment horizontal="left" wrapText="1"/>
    </xf>
    <xf numFmtId="0" fontId="0" fillId="9" borderId="1" xfId="0" applyFill="1" applyBorder="1"/>
    <xf numFmtId="0" fontId="5" fillId="0" borderId="1" xfId="0" applyFont="1" applyFill="1" applyBorder="1" applyAlignment="1">
      <alignment wrapText="1"/>
    </xf>
    <xf numFmtId="0" fontId="0" fillId="0" borderId="1" xfId="0" applyFont="1" applyFill="1" applyBorder="1" applyAlignment="1">
      <alignment horizontal="left"/>
    </xf>
    <xf numFmtId="0" fontId="5" fillId="0" borderId="1" xfId="0" applyFont="1" applyBorder="1" applyAlignment="1"/>
    <xf numFmtId="1" fontId="0" fillId="0" borderId="1" xfId="0" applyNumberFormat="1" applyFont="1" applyBorder="1" applyAlignment="1">
      <alignment horizontal="left"/>
    </xf>
    <xf numFmtId="0" fontId="0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/>
    </xf>
    <xf numFmtId="0" fontId="0" fillId="2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1" fontId="5" fillId="2" borderId="1" xfId="0" applyNumberFormat="1" applyFont="1" applyFill="1" applyBorder="1" applyAlignment="1">
      <alignment horizontal="left"/>
    </xf>
    <xf numFmtId="0" fontId="0" fillId="2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/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/>
    <xf numFmtId="0" fontId="0" fillId="0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 wrapText="1"/>
    </xf>
    <xf numFmtId="0" fontId="0" fillId="4" borderId="1" xfId="0" applyFont="1" applyFill="1" applyBorder="1" applyAlignment="1">
      <alignment horizontal="center" wrapText="1"/>
    </xf>
    <xf numFmtId="0" fontId="0" fillId="3" borderId="1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 wrapText="1"/>
    </xf>
    <xf numFmtId="0" fontId="3" fillId="4" borderId="1" xfId="0" applyFont="1" applyFill="1" applyBorder="1" applyAlignment="1">
      <alignment horizontal="center"/>
    </xf>
    <xf numFmtId="0" fontId="8" fillId="0" borderId="1" xfId="4" applyFont="1" applyFill="1" applyBorder="1"/>
    <xf numFmtId="0" fontId="8" fillId="0" borderId="1" xfId="2" applyFont="1" applyFill="1" applyBorder="1" applyAlignment="1">
      <alignment horizontal="left" vertical="center"/>
    </xf>
    <xf numFmtId="0" fontId="8" fillId="0" borderId="1" xfId="2" applyFont="1" applyFill="1" applyBorder="1" applyAlignment="1">
      <alignment vertical="center" wrapText="1"/>
    </xf>
    <xf numFmtId="1" fontId="8" fillId="0" borderId="1" xfId="3" applyNumberFormat="1" applyFont="1" applyFill="1" applyBorder="1"/>
    <xf numFmtId="0" fontId="8" fillId="0" borderId="1" xfId="3" quotePrefix="1" applyNumberFormat="1" applyFont="1" applyFill="1" applyBorder="1"/>
    <xf numFmtId="0" fontId="8" fillId="0" borderId="1" xfId="3" applyFont="1" applyFill="1" applyBorder="1"/>
    <xf numFmtId="0" fontId="8" fillId="0" borderId="1" xfId="3" quotePrefix="1" applyNumberFormat="1" applyFont="1" applyFill="1" applyBorder="1" applyAlignment="1">
      <alignment horizontal="left"/>
    </xf>
    <xf numFmtId="0" fontId="8" fillId="0" borderId="1" xfId="2" applyFont="1" applyFill="1" applyBorder="1"/>
    <xf numFmtId="1" fontId="8" fillId="0" borderId="1" xfId="3" applyNumberFormat="1" applyFont="1" applyFill="1" applyBorder="1" applyAlignment="1">
      <alignment wrapText="1"/>
    </xf>
    <xf numFmtId="0" fontId="8" fillId="0" borderId="1" xfId="3" quotePrefix="1" applyNumberFormat="1" applyFont="1" applyFill="1" applyBorder="1" applyAlignment="1">
      <alignment wrapText="1"/>
    </xf>
    <xf numFmtId="0" fontId="8" fillId="0" borderId="1" xfId="3" applyFont="1" applyFill="1" applyBorder="1" applyAlignment="1">
      <alignment wrapText="1"/>
    </xf>
    <xf numFmtId="1" fontId="8" fillId="0" borderId="1" xfId="3" applyNumberFormat="1" applyFont="1" applyFill="1" applyBorder="1" applyAlignment="1"/>
    <xf numFmtId="0" fontId="8" fillId="0" borderId="1" xfId="2" applyFont="1" applyFill="1" applyBorder="1" applyAlignment="1">
      <alignment vertical="center"/>
    </xf>
    <xf numFmtId="0" fontId="8" fillId="0" borderId="1" xfId="2" applyFont="1" applyFill="1" applyBorder="1" applyAlignment="1"/>
    <xf numFmtId="2" fontId="8" fillId="0" borderId="1" xfId="2" applyNumberFormat="1" applyFont="1" applyFill="1" applyBorder="1" applyAlignment="1">
      <alignment horizontal="center" vertical="center" wrapText="1"/>
    </xf>
    <xf numFmtId="2" fontId="8" fillId="0" borderId="1" xfId="2" applyNumberFormat="1" applyFont="1" applyFill="1" applyBorder="1" applyAlignment="1">
      <alignment horizontal="center" vertical="center"/>
    </xf>
    <xf numFmtId="0" fontId="8" fillId="0" borderId="1" xfId="2" applyFont="1" applyFill="1" applyBorder="1" applyAlignment="1">
      <alignment wrapText="1"/>
    </xf>
    <xf numFmtId="0" fontId="8" fillId="0" borderId="1" xfId="2" applyFont="1" applyFill="1" applyBorder="1" applyAlignment="1">
      <alignment vertical="top" wrapText="1"/>
    </xf>
    <xf numFmtId="2" fontId="8" fillId="0" borderId="1" xfId="2" applyNumberFormat="1" applyFont="1" applyFill="1" applyBorder="1" applyAlignment="1">
      <alignment horizontal="center" vertical="center" shrinkToFit="1"/>
    </xf>
    <xf numFmtId="2" fontId="9" fillId="0" borderId="1" xfId="2" applyNumberFormat="1" applyFont="1" applyFill="1" applyBorder="1" applyAlignment="1">
      <alignment horizontal="center"/>
    </xf>
    <xf numFmtId="0" fontId="9" fillId="0" borderId="1" xfId="2" applyFont="1" applyFill="1" applyBorder="1"/>
    <xf numFmtId="0" fontId="9" fillId="0" borderId="1" xfId="2" applyFont="1" applyFill="1" applyBorder="1" applyAlignment="1"/>
    <xf numFmtId="0" fontId="10" fillId="0" borderId="1" xfId="2" applyFont="1" applyFill="1" applyBorder="1" applyAlignment="1">
      <alignment vertical="center" wrapText="1"/>
    </xf>
    <xf numFmtId="0" fontId="10" fillId="0" borderId="1" xfId="2" applyFont="1" applyFill="1" applyBorder="1" applyAlignment="1">
      <alignment horizontal="left" vertical="center"/>
    </xf>
    <xf numFmtId="0" fontId="0" fillId="2" borderId="5" xfId="0" applyFont="1" applyFill="1" applyBorder="1" applyAlignment="1">
      <alignment horizontal="center" wrapText="1"/>
    </xf>
    <xf numFmtId="0" fontId="0" fillId="2" borderId="6" xfId="0" applyFont="1" applyFill="1" applyBorder="1" applyAlignment="1">
      <alignment horizontal="left" wrapText="1"/>
    </xf>
    <xf numFmtId="0" fontId="5" fillId="2" borderId="6" xfId="0" applyFont="1" applyFill="1" applyBorder="1" applyAlignment="1">
      <alignment horizontal="left" wrapText="1"/>
    </xf>
    <xf numFmtId="1" fontId="0" fillId="2" borderId="6" xfId="0" applyNumberFormat="1" applyFont="1" applyFill="1" applyBorder="1" applyAlignment="1">
      <alignment horizontal="left" wrapText="1"/>
    </xf>
    <xf numFmtId="0" fontId="0" fillId="2" borderId="6" xfId="0" applyFont="1" applyFill="1" applyBorder="1" applyAlignment="1">
      <alignment horizontal="left" vertical="center" wrapText="1"/>
    </xf>
    <xf numFmtId="0" fontId="0" fillId="0" borderId="6" xfId="0" applyFont="1" applyFill="1" applyBorder="1" applyAlignment="1">
      <alignment horizontal="left" vertical="center" wrapText="1"/>
    </xf>
    <xf numFmtId="0" fontId="0" fillId="2" borderId="7" xfId="0" applyFont="1" applyFill="1" applyBorder="1" applyAlignment="1">
      <alignment horizontal="center" wrapText="1"/>
    </xf>
    <xf numFmtId="0" fontId="0" fillId="2" borderId="8" xfId="0" applyFont="1" applyFill="1" applyBorder="1" applyAlignment="1">
      <alignment horizontal="left" wrapText="1"/>
    </xf>
    <xf numFmtId="0" fontId="5" fillId="2" borderId="8" xfId="0" applyFont="1" applyFill="1" applyBorder="1" applyAlignment="1">
      <alignment horizontal="left" wrapText="1"/>
    </xf>
    <xf numFmtId="1" fontId="0" fillId="2" borderId="8" xfId="0" applyNumberFormat="1" applyFont="1" applyFill="1" applyBorder="1" applyAlignment="1">
      <alignment horizontal="left" wrapText="1"/>
    </xf>
    <xf numFmtId="0" fontId="0" fillId="2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horizontal="left" vertical="center" wrapText="1"/>
    </xf>
    <xf numFmtId="0" fontId="0" fillId="12" borderId="1" xfId="0" applyFont="1" applyFill="1" applyBorder="1" applyAlignment="1">
      <alignment horizontal="left" wrapText="1"/>
    </xf>
    <xf numFmtId="0" fontId="0" fillId="12" borderId="1" xfId="0" applyFont="1" applyFill="1" applyBorder="1" applyAlignment="1">
      <alignment horizontal="left"/>
    </xf>
    <xf numFmtId="0" fontId="3" fillId="4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 wrapText="1"/>
    </xf>
    <xf numFmtId="0" fontId="4" fillId="3" borderId="2" xfId="0" applyFont="1" applyFill="1" applyBorder="1" applyAlignment="1">
      <alignment horizontal="center" wrapText="1"/>
    </xf>
    <xf numFmtId="0" fontId="4" fillId="3" borderId="3" xfId="0" applyFont="1" applyFill="1" applyBorder="1" applyAlignment="1">
      <alignment horizontal="center" wrapText="1"/>
    </xf>
    <xf numFmtId="0" fontId="4" fillId="3" borderId="4" xfId="0" applyFont="1" applyFill="1" applyBorder="1" applyAlignment="1">
      <alignment horizontal="center" wrapText="1"/>
    </xf>
    <xf numFmtId="0" fontId="0" fillId="4" borderId="1" xfId="0" applyFont="1" applyFill="1" applyBorder="1" applyAlignment="1">
      <alignment horizontal="center" wrapText="1"/>
    </xf>
    <xf numFmtId="0" fontId="0" fillId="3" borderId="1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 wrapText="1"/>
    </xf>
    <xf numFmtId="0" fontId="4" fillId="8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</cellXfs>
  <cellStyles count="5">
    <cellStyle name="Normal" xfId="0" builtinId="0"/>
    <cellStyle name="Normal 2" xfId="1"/>
    <cellStyle name="Normal 2 2" xfId="3"/>
    <cellStyle name="Normal 3" xfId="2"/>
    <cellStyle name="Normal_Store Data - Walmart - Saverite (2)" xfId="4"/>
  </cellStyles>
  <dxfs count="10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99CC"/>
      <color rgb="FF95378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theme="5" tint="0.59999389629810485"/>
    <pageSetUpPr fitToPage="1"/>
  </sheetPr>
  <dimension ref="B1:K137"/>
  <sheetViews>
    <sheetView tabSelected="1" zoomScale="70" zoomScaleNormal="70" zoomScaleSheetLayoutView="89" workbookViewId="0">
      <selection activeCell="F13" sqref="F13"/>
    </sheetView>
  </sheetViews>
  <sheetFormatPr defaultColWidth="9.140625" defaultRowHeight="12.75" x14ac:dyDescent="0.2"/>
  <cols>
    <col min="1" max="1" width="1.42578125" style="1" customWidth="1"/>
    <col min="2" max="2" width="4" style="1" bestFit="1" customWidth="1"/>
    <col min="3" max="3" width="10.5703125" style="20" hidden="1" customWidth="1"/>
    <col min="4" max="4" width="20.5703125" style="20" bestFit="1" customWidth="1"/>
    <col min="5" max="5" width="51.5703125" style="1" bestFit="1" customWidth="1"/>
    <col min="6" max="6" width="89.28515625" style="2" bestFit="1" customWidth="1"/>
    <col min="7" max="7" width="35.7109375" style="21" bestFit="1" customWidth="1"/>
    <col min="8" max="8" width="27.7109375" style="21" bestFit="1" customWidth="1"/>
    <col min="9" max="10" width="27.7109375" style="21" customWidth="1"/>
    <col min="11" max="11" width="3.42578125" style="1" bestFit="1" customWidth="1"/>
    <col min="12" max="16384" width="9.140625" style="1"/>
  </cols>
  <sheetData>
    <row r="1" spans="2:10" ht="28.5" customHeight="1" x14ac:dyDescent="0.2">
      <c r="B1" s="13" t="s">
        <v>37</v>
      </c>
      <c r="C1" s="22"/>
      <c r="D1" s="17" t="s">
        <v>302</v>
      </c>
      <c r="E1" s="13" t="s">
        <v>38</v>
      </c>
      <c r="F1" s="13" t="s">
        <v>39</v>
      </c>
      <c r="G1" s="17" t="s">
        <v>46</v>
      </c>
      <c r="H1" s="17" t="s">
        <v>298</v>
      </c>
      <c r="I1" s="17"/>
      <c r="J1" s="17"/>
    </row>
    <row r="2" spans="2:10" s="5" customFormat="1" ht="12.75" customHeight="1" x14ac:dyDescent="0.25">
      <c r="B2" s="95" t="s">
        <v>40</v>
      </c>
      <c r="C2" s="95"/>
      <c r="D2" s="95"/>
      <c r="E2" s="95"/>
      <c r="F2" s="95"/>
      <c r="G2" s="95"/>
      <c r="H2" s="28"/>
      <c r="I2" s="56"/>
      <c r="J2" s="56"/>
    </row>
    <row r="3" spans="2:10" s="5" customFormat="1" x14ac:dyDescent="0.2">
      <c r="B3" s="6">
        <v>1</v>
      </c>
      <c r="C3" s="23"/>
      <c r="D3" s="23"/>
      <c r="E3" s="7" t="s">
        <v>0</v>
      </c>
      <c r="F3" s="8" t="s">
        <v>1</v>
      </c>
      <c r="G3" s="18" t="s">
        <v>59</v>
      </c>
      <c r="H3" s="19" t="s">
        <v>355</v>
      </c>
      <c r="I3" s="18" t="e">
        <f>VLOOKUP(F3,Sheet1!E:F,2,FALSE)</f>
        <v>#N/A</v>
      </c>
      <c r="J3" s="18" t="e">
        <f>VLOOKUP(F3,Sheet1!E:G,3,FALSE)</f>
        <v>#N/A</v>
      </c>
    </row>
    <row r="4" spans="2:10" s="5" customFormat="1" x14ac:dyDescent="0.2">
      <c r="B4" s="6">
        <v>2</v>
      </c>
      <c r="C4" s="23"/>
      <c r="D4" s="23"/>
      <c r="E4" s="7" t="s">
        <v>2</v>
      </c>
      <c r="F4" s="8" t="s">
        <v>3</v>
      </c>
      <c r="G4" s="18" t="s">
        <v>47</v>
      </c>
      <c r="H4" s="18" t="s">
        <v>348</v>
      </c>
      <c r="I4" s="18" t="e">
        <f>VLOOKUP(F4,Sheet1!E:F,2,FALSE)</f>
        <v>#N/A</v>
      </c>
      <c r="J4" s="18" t="e">
        <f>VLOOKUP(F4,Sheet1!E:G,3,FALSE)</f>
        <v>#N/A</v>
      </c>
    </row>
    <row r="5" spans="2:10" s="5" customFormat="1" x14ac:dyDescent="0.2">
      <c r="B5" s="96" t="s">
        <v>241</v>
      </c>
      <c r="C5" s="96"/>
      <c r="D5" s="96"/>
      <c r="E5" s="96"/>
      <c r="F5" s="96"/>
      <c r="G5" s="96"/>
      <c r="H5" s="26"/>
      <c r="I5" s="52"/>
      <c r="J5" s="52"/>
    </row>
    <row r="6" spans="2:10" s="5" customFormat="1" x14ac:dyDescent="0.2">
      <c r="B6" s="15">
        <v>1</v>
      </c>
      <c r="C6" s="24" t="s">
        <v>244</v>
      </c>
      <c r="D6" s="24">
        <v>710</v>
      </c>
      <c r="E6" s="11" t="s">
        <v>77</v>
      </c>
      <c r="F6" s="10" t="s">
        <v>98</v>
      </c>
      <c r="G6" s="19" t="s">
        <v>248</v>
      </c>
      <c r="H6" s="19" t="s">
        <v>348</v>
      </c>
      <c r="I6" s="18">
        <f>VLOOKUP(F6,Sheet1!E:F,2,FALSE)</f>
        <v>-25.467195</v>
      </c>
      <c r="J6" s="18">
        <f>VLOOKUP(F6,Sheet1!E:G,3,FALSE)</f>
        <v>30.981584000000002</v>
      </c>
    </row>
    <row r="7" spans="2:10" s="5" customFormat="1" x14ac:dyDescent="0.2">
      <c r="B7" s="6">
        <v>2</v>
      </c>
      <c r="C7" s="23" t="s">
        <v>243</v>
      </c>
      <c r="D7" s="23">
        <v>10063</v>
      </c>
      <c r="E7" s="9" t="s">
        <v>20</v>
      </c>
      <c r="F7" s="4" t="s">
        <v>21</v>
      </c>
      <c r="G7" s="18" t="s">
        <v>47</v>
      </c>
      <c r="H7" s="18" t="s">
        <v>348</v>
      </c>
      <c r="I7" s="18" t="e">
        <f>VLOOKUP(F7,Sheet1!E:F,2,FALSE)</f>
        <v>#N/A</v>
      </c>
      <c r="J7" s="18" t="e">
        <f>VLOOKUP(F7,Sheet1!E:G,3,FALSE)</f>
        <v>#N/A</v>
      </c>
    </row>
    <row r="8" spans="2:10" s="5" customFormat="1" x14ac:dyDescent="0.2">
      <c r="B8" s="6">
        <v>3</v>
      </c>
      <c r="C8" s="23"/>
      <c r="D8" s="23">
        <v>10065</v>
      </c>
      <c r="E8" s="37" t="s">
        <v>31</v>
      </c>
      <c r="F8" s="14" t="s">
        <v>22</v>
      </c>
      <c r="G8" s="18" t="s">
        <v>48</v>
      </c>
      <c r="H8" s="18" t="s">
        <v>348</v>
      </c>
      <c r="I8" s="18" t="e">
        <f>VLOOKUP(F8,Sheet1!E:F,2,FALSE)</f>
        <v>#N/A</v>
      </c>
      <c r="J8" s="18" t="e">
        <f>VLOOKUP(F8,Sheet1!E:G,3,FALSE)</f>
        <v>#N/A</v>
      </c>
    </row>
    <row r="9" spans="2:10" s="5" customFormat="1" x14ac:dyDescent="0.2">
      <c r="B9" s="6">
        <v>4</v>
      </c>
      <c r="C9" s="23" t="s">
        <v>243</v>
      </c>
      <c r="D9" s="24">
        <v>10066</v>
      </c>
      <c r="E9" s="37" t="s">
        <v>32</v>
      </c>
      <c r="F9" s="14" t="s">
        <v>23</v>
      </c>
      <c r="G9" s="18" t="s">
        <v>48</v>
      </c>
      <c r="H9" s="18" t="s">
        <v>348</v>
      </c>
      <c r="I9" s="18" t="e">
        <f>VLOOKUP(F9,Sheet1!E:F,2,FALSE)</f>
        <v>#N/A</v>
      </c>
      <c r="J9" s="18" t="e">
        <f>VLOOKUP(F9,Sheet1!E:G,3,FALSE)</f>
        <v>#N/A</v>
      </c>
    </row>
    <row r="10" spans="2:10" s="5" customFormat="1" x14ac:dyDescent="0.2">
      <c r="B10" s="15">
        <v>5</v>
      </c>
      <c r="C10" s="24" t="s">
        <v>243</v>
      </c>
      <c r="D10" s="24">
        <v>3020</v>
      </c>
      <c r="E10" s="11" t="s">
        <v>61</v>
      </c>
      <c r="F10" s="10" t="s">
        <v>81</v>
      </c>
      <c r="G10" s="19" t="s">
        <v>245</v>
      </c>
      <c r="H10" s="19" t="s">
        <v>348</v>
      </c>
      <c r="I10" s="18">
        <f>VLOOKUP(F10,Sheet1!E:F,2,FALSE)</f>
        <v>-26.163285999999999</v>
      </c>
      <c r="J10" s="18">
        <f>VLOOKUP(F10,Sheet1!E:G,3,FALSE)</f>
        <v>27.870144</v>
      </c>
    </row>
    <row r="11" spans="2:10" s="5" customFormat="1" x14ac:dyDescent="0.2">
      <c r="B11" s="15">
        <v>6</v>
      </c>
      <c r="C11" s="24" t="s">
        <v>243</v>
      </c>
      <c r="D11" s="24" t="s">
        <v>306</v>
      </c>
      <c r="E11" s="11" t="s">
        <v>62</v>
      </c>
      <c r="F11" s="10" t="s">
        <v>82</v>
      </c>
      <c r="G11" s="19" t="s">
        <v>245</v>
      </c>
      <c r="H11" s="19" t="s">
        <v>348</v>
      </c>
      <c r="I11" s="18">
        <f>VLOOKUP(F11,Sheet1!E:F,2,FALSE)</f>
        <v>-26.156257</v>
      </c>
      <c r="J11" s="18">
        <f>VLOOKUP(F11,Sheet1!E:G,3,FALSE)</f>
        <v>27.868193999999999</v>
      </c>
    </row>
    <row r="12" spans="2:10" s="5" customFormat="1" x14ac:dyDescent="0.2">
      <c r="B12" s="15">
        <v>7</v>
      </c>
      <c r="C12" s="24" t="s">
        <v>243</v>
      </c>
      <c r="D12" s="24" t="s">
        <v>308</v>
      </c>
      <c r="E12" s="11" t="s">
        <v>63</v>
      </c>
      <c r="F12" s="10" t="s">
        <v>84</v>
      </c>
      <c r="G12" s="19" t="s">
        <v>246</v>
      </c>
      <c r="H12" s="19" t="s">
        <v>348</v>
      </c>
      <c r="I12" s="18">
        <f>VLOOKUP(F12,Sheet1!E:F,2,FALSE)</f>
        <v>-25.716913000000002</v>
      </c>
      <c r="J12" s="18">
        <f>VLOOKUP(F12,Sheet1!E:G,3,FALSE)</f>
        <v>28.106065999999998</v>
      </c>
    </row>
    <row r="13" spans="2:10" s="5" customFormat="1" x14ac:dyDescent="0.2">
      <c r="B13" s="15">
        <v>8</v>
      </c>
      <c r="C13" s="24" t="s">
        <v>243</v>
      </c>
      <c r="D13" s="24" t="s">
        <v>309</v>
      </c>
      <c r="E13" s="11" t="s">
        <v>64</v>
      </c>
      <c r="F13" s="10" t="s">
        <v>85</v>
      </c>
      <c r="G13" s="19" t="s">
        <v>247</v>
      </c>
      <c r="H13" s="19" t="s">
        <v>348</v>
      </c>
      <c r="I13" s="18">
        <f>VLOOKUP(F13,Sheet1!E:F,2,FALSE)</f>
        <v>-26.264481</v>
      </c>
      <c r="J13" s="18">
        <f>VLOOKUP(F13,Sheet1!E:G,3,FALSE)</f>
        <v>28.418443</v>
      </c>
    </row>
    <row r="14" spans="2:10" s="5" customFormat="1" x14ac:dyDescent="0.2">
      <c r="B14" s="15">
        <v>9</v>
      </c>
      <c r="C14" s="24" t="s">
        <v>243</v>
      </c>
      <c r="D14" s="93"/>
      <c r="E14" s="11" t="s">
        <v>304</v>
      </c>
      <c r="F14" s="10" t="s">
        <v>303</v>
      </c>
      <c r="G14" s="19" t="s">
        <v>245</v>
      </c>
      <c r="H14" s="19" t="s">
        <v>348</v>
      </c>
      <c r="I14" s="18" t="e">
        <f>VLOOKUP(F14,Sheet1!E:F,2,FALSE)</f>
        <v>#N/A</v>
      </c>
      <c r="J14" s="18" t="e">
        <f>VLOOKUP(F14,Sheet1!E:G,3,FALSE)</f>
        <v>#N/A</v>
      </c>
    </row>
    <row r="15" spans="2:10" s="5" customFormat="1" x14ac:dyDescent="0.2">
      <c r="B15" s="15">
        <v>10</v>
      </c>
      <c r="C15" s="24" t="s">
        <v>243</v>
      </c>
      <c r="D15" s="24" t="s">
        <v>310</v>
      </c>
      <c r="E15" s="11" t="s">
        <v>65</v>
      </c>
      <c r="F15" s="10" t="s">
        <v>86</v>
      </c>
      <c r="G15" s="19" t="s">
        <v>265</v>
      </c>
      <c r="H15" s="19" t="s">
        <v>348</v>
      </c>
      <c r="I15" s="18">
        <f>VLOOKUP(F15,Sheet1!E:F,2,FALSE)</f>
        <v>-26.215949999999999</v>
      </c>
      <c r="J15" s="18">
        <f>VLOOKUP(F15,Sheet1!E:G,3,FALSE)</f>
        <v>28.011106999999999</v>
      </c>
    </row>
    <row r="16" spans="2:10" s="5" customFormat="1" x14ac:dyDescent="0.2">
      <c r="B16" s="15">
        <v>11</v>
      </c>
      <c r="C16" s="24" t="s">
        <v>244</v>
      </c>
      <c r="D16" s="24">
        <v>804</v>
      </c>
      <c r="E16" s="11" t="s">
        <v>66</v>
      </c>
      <c r="F16" s="10" t="s">
        <v>87</v>
      </c>
      <c r="G16" s="19" t="s">
        <v>255</v>
      </c>
      <c r="H16" s="19" t="s">
        <v>348</v>
      </c>
      <c r="I16" s="18">
        <f>VLOOKUP(F16,Sheet1!E:F,2,FALSE)</f>
        <v>-26.86712</v>
      </c>
      <c r="J16" s="18">
        <f>VLOOKUP(F16,Sheet1!E:G,3,FALSE)</f>
        <v>26.665379999999999</v>
      </c>
    </row>
    <row r="17" spans="2:10" s="5" customFormat="1" x14ac:dyDescent="0.2">
      <c r="B17" s="15">
        <v>12</v>
      </c>
      <c r="C17" s="24" t="s">
        <v>244</v>
      </c>
      <c r="D17" s="24">
        <v>712</v>
      </c>
      <c r="E17" s="11" t="s">
        <v>67</v>
      </c>
      <c r="F17" s="10" t="s">
        <v>88</v>
      </c>
      <c r="G17" s="19" t="s">
        <v>256</v>
      </c>
      <c r="H17" s="19" t="s">
        <v>348</v>
      </c>
      <c r="I17" s="18">
        <f>VLOOKUP(F17,Sheet1!E:F,2,FALSE)</f>
        <v>-26.528687999999999</v>
      </c>
      <c r="J17" s="18">
        <f>VLOOKUP(F17,Sheet1!E:G,3,FALSE)</f>
        <v>27.829193</v>
      </c>
    </row>
    <row r="18" spans="2:10" s="5" customFormat="1" x14ac:dyDescent="0.2">
      <c r="B18" s="15">
        <v>13</v>
      </c>
      <c r="C18" s="24" t="s">
        <v>244</v>
      </c>
      <c r="D18" s="24">
        <v>640</v>
      </c>
      <c r="E18" s="11" t="s">
        <v>68</v>
      </c>
      <c r="F18" s="10" t="s">
        <v>89</v>
      </c>
      <c r="G18" s="19" t="s">
        <v>267</v>
      </c>
      <c r="H18" s="19" t="s">
        <v>348</v>
      </c>
      <c r="I18" s="18">
        <f>VLOOKUP(F18,Sheet1!E:F,2,FALSE)</f>
        <v>-26.258151999999999</v>
      </c>
      <c r="J18" s="18">
        <f>VLOOKUP(F18,Sheet1!E:G,3,FALSE)</f>
        <v>27.941431999999999</v>
      </c>
    </row>
    <row r="19" spans="2:10" s="5" customFormat="1" x14ac:dyDescent="0.2">
      <c r="B19" s="15">
        <v>14</v>
      </c>
      <c r="C19" s="24" t="s">
        <v>244</v>
      </c>
      <c r="D19" s="24">
        <v>642</v>
      </c>
      <c r="E19" s="11" t="s">
        <v>69</v>
      </c>
      <c r="F19" s="10" t="s">
        <v>90</v>
      </c>
      <c r="G19" s="19" t="s">
        <v>257</v>
      </c>
      <c r="H19" s="19" t="s">
        <v>348</v>
      </c>
      <c r="I19" s="18">
        <f>VLOOKUP(F19,Sheet1!E:F,2,FALSE)</f>
        <v>-26.201678000000001</v>
      </c>
      <c r="J19" s="18">
        <f>VLOOKUP(F19,Sheet1!E:G,3,FALSE)</f>
        <v>28.036373000000001</v>
      </c>
    </row>
    <row r="20" spans="2:10" s="5" customFormat="1" x14ac:dyDescent="0.2">
      <c r="B20" s="15">
        <v>15</v>
      </c>
      <c r="C20" s="24" t="s">
        <v>244</v>
      </c>
      <c r="D20" s="24">
        <v>608</v>
      </c>
      <c r="E20" s="11" t="s">
        <v>70</v>
      </c>
      <c r="F20" s="10" t="s">
        <v>91</v>
      </c>
      <c r="G20" s="19" t="s">
        <v>258</v>
      </c>
      <c r="H20" s="19" t="s">
        <v>348</v>
      </c>
      <c r="I20" s="18">
        <f>VLOOKUP(F20,Sheet1!E:F,2,FALSE)</f>
        <v>-26.199074</v>
      </c>
      <c r="J20" s="18">
        <f>VLOOKUP(F20,Sheet1!E:G,3,FALSE)</f>
        <v>28.045535000000001</v>
      </c>
    </row>
    <row r="21" spans="2:10" s="5" customFormat="1" x14ac:dyDescent="0.2">
      <c r="B21" s="15">
        <v>16</v>
      </c>
      <c r="C21" s="24" t="s">
        <v>244</v>
      </c>
      <c r="D21" s="24">
        <v>639</v>
      </c>
      <c r="E21" s="11" t="s">
        <v>71</v>
      </c>
      <c r="F21" s="10" t="s">
        <v>92</v>
      </c>
      <c r="G21" s="19" t="s">
        <v>259</v>
      </c>
      <c r="H21" s="19" t="s">
        <v>348</v>
      </c>
      <c r="I21" s="18">
        <f>VLOOKUP(F21,Sheet1!E:F,2,FALSE)</f>
        <v>-26.188907</v>
      </c>
      <c r="J21" s="18">
        <f>VLOOKUP(F21,Sheet1!E:G,3,FALSE)</f>
        <v>28.046983000000001</v>
      </c>
    </row>
    <row r="22" spans="2:10" s="5" customFormat="1" x14ac:dyDescent="0.2">
      <c r="B22" s="15">
        <v>17</v>
      </c>
      <c r="C22" s="24" t="s">
        <v>244</v>
      </c>
      <c r="D22" s="24">
        <v>643</v>
      </c>
      <c r="E22" s="11" t="s">
        <v>72</v>
      </c>
      <c r="F22" s="10" t="s">
        <v>93</v>
      </c>
      <c r="G22" s="19" t="s">
        <v>266</v>
      </c>
      <c r="H22" s="19" t="s">
        <v>348</v>
      </c>
      <c r="I22" s="18">
        <f>VLOOKUP(F22,Sheet1!E:F,2,FALSE)</f>
        <v>-26.108515000000001</v>
      </c>
      <c r="J22" s="18">
        <f>VLOOKUP(F22,Sheet1!E:G,3,FALSE)</f>
        <v>28.228033</v>
      </c>
    </row>
    <row r="23" spans="2:10" s="5" customFormat="1" x14ac:dyDescent="0.2">
      <c r="B23" s="15">
        <v>18</v>
      </c>
      <c r="C23" s="24" t="s">
        <v>244</v>
      </c>
      <c r="D23" s="24">
        <v>634</v>
      </c>
      <c r="E23" s="11" t="s">
        <v>73</v>
      </c>
      <c r="F23" s="10" t="s">
        <v>94</v>
      </c>
      <c r="G23" s="19" t="s">
        <v>260</v>
      </c>
      <c r="H23" s="19" t="s">
        <v>348</v>
      </c>
      <c r="I23" s="18">
        <f>VLOOKUP(F23,Sheet1!E:F,2,FALSE)</f>
        <v>-26.094628</v>
      </c>
      <c r="J23" s="18">
        <f>VLOOKUP(F23,Sheet1!E:G,3,FALSE)</f>
        <v>28.004878000000001</v>
      </c>
    </row>
    <row r="24" spans="2:10" s="5" customFormat="1" x14ac:dyDescent="0.2">
      <c r="B24" s="15">
        <v>19</v>
      </c>
      <c r="C24" s="24" t="s">
        <v>244</v>
      </c>
      <c r="D24" s="24">
        <v>645</v>
      </c>
      <c r="E24" s="11" t="s">
        <v>74</v>
      </c>
      <c r="F24" s="10" t="s">
        <v>95</v>
      </c>
      <c r="G24" s="19" t="s">
        <v>261</v>
      </c>
      <c r="H24" s="19" t="s">
        <v>348</v>
      </c>
      <c r="I24" s="18">
        <f>VLOOKUP(F24,Sheet1!E:F,2,FALSE)</f>
        <v>-26.034047000000001</v>
      </c>
      <c r="J24" s="18">
        <f>VLOOKUP(F24,Sheet1!E:G,3,FALSE)</f>
        <v>28.175622000000001</v>
      </c>
    </row>
    <row r="25" spans="2:10" s="5" customFormat="1" x14ac:dyDescent="0.2">
      <c r="B25" s="15">
        <v>20</v>
      </c>
      <c r="C25" s="24" t="s">
        <v>244</v>
      </c>
      <c r="D25" s="24">
        <v>737</v>
      </c>
      <c r="E25" s="11" t="s">
        <v>75</v>
      </c>
      <c r="F25" s="10" t="s">
        <v>96</v>
      </c>
      <c r="G25" s="19" t="s">
        <v>262</v>
      </c>
      <c r="H25" s="19" t="s">
        <v>348</v>
      </c>
      <c r="I25" s="18">
        <f>VLOOKUP(F25,Sheet1!E:F,2,FALSE)</f>
        <v>-26.017551999999998</v>
      </c>
      <c r="J25" s="18">
        <f>VLOOKUP(F25,Sheet1!E:G,3,FALSE)</f>
        <v>27.937871999999999</v>
      </c>
    </row>
    <row r="26" spans="2:10" s="5" customFormat="1" x14ac:dyDescent="0.2">
      <c r="B26" s="15">
        <v>21</v>
      </c>
      <c r="C26" s="24" t="s">
        <v>244</v>
      </c>
      <c r="D26" s="24">
        <v>708</v>
      </c>
      <c r="E26" s="11" t="s">
        <v>76</v>
      </c>
      <c r="F26" s="10" t="s">
        <v>97</v>
      </c>
      <c r="G26" s="19" t="s">
        <v>246</v>
      </c>
      <c r="H26" s="19" t="s">
        <v>348</v>
      </c>
      <c r="I26" s="18">
        <f>VLOOKUP(F26,Sheet1!E:F,2,FALSE)</f>
        <v>-25.740628000000001</v>
      </c>
      <c r="J26" s="18">
        <f>VLOOKUP(F26,Sheet1!E:G,3,FALSE)</f>
        <v>28.191914000000001</v>
      </c>
    </row>
    <row r="27" spans="2:10" s="5" customFormat="1" x14ac:dyDescent="0.2">
      <c r="B27" s="15">
        <v>22</v>
      </c>
      <c r="C27" s="24" t="s">
        <v>244</v>
      </c>
      <c r="D27" s="24">
        <v>711</v>
      </c>
      <c r="E27" s="11" t="s">
        <v>78</v>
      </c>
      <c r="F27" s="10" t="s">
        <v>99</v>
      </c>
      <c r="G27" s="19" t="s">
        <v>249</v>
      </c>
      <c r="H27" s="19" t="s">
        <v>348</v>
      </c>
      <c r="I27" s="18">
        <f>VLOOKUP(F27,Sheet1!E:F,2,FALSE)</f>
        <v>-23.852395000000001</v>
      </c>
      <c r="J27" s="18">
        <f>VLOOKUP(F27,Sheet1!E:G,3,FALSE)</f>
        <v>29.398741999999999</v>
      </c>
    </row>
    <row r="28" spans="2:10" s="5" customFormat="1" x14ac:dyDescent="0.2">
      <c r="B28" s="15">
        <v>23</v>
      </c>
      <c r="C28" s="24" t="s">
        <v>244</v>
      </c>
      <c r="D28" s="24">
        <v>644</v>
      </c>
      <c r="E28" s="11" t="s">
        <v>79</v>
      </c>
      <c r="F28" s="10" t="s">
        <v>100</v>
      </c>
      <c r="G28" s="19" t="s">
        <v>263</v>
      </c>
      <c r="H28" s="19" t="s">
        <v>348</v>
      </c>
      <c r="I28" s="18">
        <f>VLOOKUP(F28,Sheet1!E:F,2,FALSE)</f>
        <v>-26.343013500000001</v>
      </c>
      <c r="J28" s="18">
        <f>VLOOKUP(F28,Sheet1!E:G,3,FALSE)</f>
        <v>28.2071691999999</v>
      </c>
    </row>
    <row r="29" spans="2:10" s="5" customFormat="1" x14ac:dyDescent="0.2">
      <c r="B29" s="15">
        <v>24</v>
      </c>
      <c r="C29" s="24" t="s">
        <v>244</v>
      </c>
      <c r="D29" s="24">
        <v>782</v>
      </c>
      <c r="E29" s="11" t="s">
        <v>80</v>
      </c>
      <c r="F29" s="10" t="s">
        <v>101</v>
      </c>
      <c r="G29" s="19" t="s">
        <v>264</v>
      </c>
      <c r="H29" s="19" t="s">
        <v>348</v>
      </c>
      <c r="I29" s="18">
        <f>VLOOKUP(F29,Sheet1!E:F,2,FALSE)</f>
        <v>-25.901649899999999</v>
      </c>
      <c r="J29" s="18">
        <f>VLOOKUP(F29,Sheet1!E:G,3,FALSE)</f>
        <v>29.236392799999901</v>
      </c>
    </row>
    <row r="30" spans="2:10" s="5" customFormat="1" x14ac:dyDescent="0.2">
      <c r="B30" s="15">
        <v>25</v>
      </c>
      <c r="C30" s="24" t="s">
        <v>244</v>
      </c>
      <c r="D30" s="24">
        <v>805</v>
      </c>
      <c r="E30" s="11" t="s">
        <v>312</v>
      </c>
      <c r="F30" s="10" t="s">
        <v>311</v>
      </c>
      <c r="G30" s="19" t="s">
        <v>313</v>
      </c>
      <c r="H30" s="19" t="s">
        <v>348</v>
      </c>
      <c r="I30" s="18" t="e">
        <f>VLOOKUP(F30,Sheet1!E:F,2,FALSE)</f>
        <v>#N/A</v>
      </c>
      <c r="J30" s="18" t="e">
        <f>VLOOKUP(F30,Sheet1!E:G,3,FALSE)</f>
        <v>#N/A</v>
      </c>
    </row>
    <row r="31" spans="2:10" x14ac:dyDescent="0.2">
      <c r="B31" s="15">
        <v>26</v>
      </c>
      <c r="C31" s="24" t="s">
        <v>244</v>
      </c>
      <c r="D31" s="24">
        <v>709</v>
      </c>
      <c r="E31" s="11" t="s">
        <v>192</v>
      </c>
      <c r="F31" s="16" t="s">
        <v>221</v>
      </c>
      <c r="G31" s="19" t="s">
        <v>299</v>
      </c>
      <c r="H31" s="19" t="s">
        <v>348</v>
      </c>
      <c r="I31" s="18">
        <f>VLOOKUP(F31,Sheet1!E:F,2,FALSE)</f>
        <v>-28.744282999999999</v>
      </c>
      <c r="J31" s="18">
        <f>VLOOKUP(F31,Sheet1!E:G,3,FALSE)</f>
        <v>31.885482</v>
      </c>
    </row>
    <row r="32" spans="2:10" x14ac:dyDescent="0.2">
      <c r="B32" s="15">
        <v>27</v>
      </c>
      <c r="C32" s="24" t="s">
        <v>244</v>
      </c>
      <c r="D32" s="24">
        <v>750</v>
      </c>
      <c r="E32" s="11" t="s">
        <v>199</v>
      </c>
      <c r="F32" s="16" t="s">
        <v>228</v>
      </c>
      <c r="G32" s="19" t="s">
        <v>300</v>
      </c>
      <c r="H32" s="19" t="s">
        <v>348</v>
      </c>
      <c r="I32" s="18">
        <f>VLOOKUP(F32,Sheet1!E:F,2,FALSE)</f>
        <v>-28.56202</v>
      </c>
      <c r="J32" s="18">
        <f>VLOOKUP(F32,Sheet1!E:G,3,FALSE)</f>
        <v>29.782579999999999</v>
      </c>
    </row>
    <row r="33" spans="2:11" s="3" customFormat="1" x14ac:dyDescent="0.2">
      <c r="B33" s="15">
        <v>28</v>
      </c>
      <c r="C33" s="24" t="s">
        <v>243</v>
      </c>
      <c r="D33" s="24">
        <v>4057</v>
      </c>
      <c r="E33" s="35" t="s">
        <v>15</v>
      </c>
      <c r="F33" s="10" t="s">
        <v>16</v>
      </c>
      <c r="G33" s="19" t="s">
        <v>301</v>
      </c>
      <c r="H33" s="19" t="s">
        <v>348</v>
      </c>
      <c r="I33" s="18" t="e">
        <f>VLOOKUP(F33,Sheet1!E:F,2,FALSE)</f>
        <v>#N/A</v>
      </c>
      <c r="J33" s="18" t="e">
        <f>VLOOKUP(F33,Sheet1!E:G,3,FALSE)</f>
        <v>#N/A</v>
      </c>
    </row>
    <row r="34" spans="2:11" x14ac:dyDescent="0.2">
      <c r="B34" s="15">
        <v>29</v>
      </c>
      <c r="C34" s="24" t="s">
        <v>243</v>
      </c>
      <c r="D34" s="24">
        <v>10047</v>
      </c>
      <c r="E34" s="11" t="s">
        <v>180</v>
      </c>
      <c r="F34" s="16" t="s">
        <v>208</v>
      </c>
      <c r="G34" s="19" t="s">
        <v>301</v>
      </c>
      <c r="H34" s="19" t="s">
        <v>348</v>
      </c>
      <c r="I34" s="18">
        <f>VLOOKUP(F34,Sheet1!E:F,2,FALSE)</f>
        <v>-27.767015000000001</v>
      </c>
      <c r="J34" s="18">
        <f>VLOOKUP(F34,Sheet1!E:G,3,FALSE)</f>
        <v>30.799603999999999</v>
      </c>
    </row>
    <row r="35" spans="2:11" s="5" customFormat="1" x14ac:dyDescent="0.2">
      <c r="B35" s="15">
        <v>30</v>
      </c>
      <c r="C35" s="24" t="s">
        <v>244</v>
      </c>
      <c r="D35" s="24">
        <v>611</v>
      </c>
      <c r="E35" s="35" t="s">
        <v>149</v>
      </c>
      <c r="F35" s="10" t="s">
        <v>150</v>
      </c>
      <c r="G35" s="19" t="s">
        <v>49</v>
      </c>
      <c r="H35" s="19" t="s">
        <v>348</v>
      </c>
      <c r="I35" s="18">
        <f>VLOOKUP(F35,Sheet1!E:F,2,FALSE)</f>
        <v>-29.232036000000001</v>
      </c>
      <c r="J35" s="18">
        <f>VLOOKUP(F35,Sheet1!E:G,3,FALSE)</f>
        <v>26.707196</v>
      </c>
      <c r="K35" s="5">
        <v>36</v>
      </c>
    </row>
    <row r="36" spans="2:11" s="5" customFormat="1" x14ac:dyDescent="0.2">
      <c r="B36" s="15">
        <v>31</v>
      </c>
      <c r="C36" s="24" t="s">
        <v>244</v>
      </c>
      <c r="D36" s="24">
        <v>610</v>
      </c>
      <c r="E36" s="35" t="s">
        <v>151</v>
      </c>
      <c r="F36" s="10" t="s">
        <v>152</v>
      </c>
      <c r="G36" s="19" t="s">
        <v>49</v>
      </c>
      <c r="H36" s="19" t="s">
        <v>348</v>
      </c>
      <c r="I36" s="18">
        <f>VLOOKUP(F36,Sheet1!E:F,2,FALSE)</f>
        <v>-29.216072</v>
      </c>
      <c r="J36" s="18">
        <f>VLOOKUP(F36,Sheet1!E:G,3,FALSE)</f>
        <v>26.839366999999999</v>
      </c>
    </row>
    <row r="37" spans="2:11" s="5" customFormat="1" x14ac:dyDescent="0.2">
      <c r="B37" s="15">
        <v>32</v>
      </c>
      <c r="C37" s="24" t="s">
        <v>244</v>
      </c>
      <c r="D37" s="24">
        <v>612</v>
      </c>
      <c r="E37" s="35" t="s">
        <v>153</v>
      </c>
      <c r="F37" s="10" t="s">
        <v>154</v>
      </c>
      <c r="G37" s="19" t="s">
        <v>49</v>
      </c>
      <c r="H37" s="19" t="s">
        <v>348</v>
      </c>
      <c r="I37" s="18">
        <f>VLOOKUP(F37,Sheet1!E:F,2,FALSE)</f>
        <v>-29.194139</v>
      </c>
      <c r="J37" s="18">
        <f>VLOOKUP(F37,Sheet1!E:G,3,FALSE)</f>
        <v>27.457598999999998</v>
      </c>
    </row>
    <row r="38" spans="2:11" s="5" customFormat="1" x14ac:dyDescent="0.2">
      <c r="B38" s="15">
        <v>33</v>
      </c>
      <c r="C38" s="24" t="s">
        <v>244</v>
      </c>
      <c r="D38" s="24">
        <v>616</v>
      </c>
      <c r="E38" s="35" t="s">
        <v>155</v>
      </c>
      <c r="F38" s="10" t="s">
        <v>156</v>
      </c>
      <c r="G38" s="19" t="s">
        <v>50</v>
      </c>
      <c r="H38" s="19" t="s">
        <v>348</v>
      </c>
      <c r="I38" s="18">
        <f>VLOOKUP(F38,Sheet1!E:F,2,FALSE)</f>
        <v>-29.161489899999999</v>
      </c>
      <c r="J38" s="18">
        <f>VLOOKUP(F38,Sheet1!E:G,3,FALSE)</f>
        <v>26.256682699999999</v>
      </c>
    </row>
    <row r="39" spans="2:11" s="5" customFormat="1" x14ac:dyDescent="0.2">
      <c r="B39" s="15">
        <v>34</v>
      </c>
      <c r="C39" s="24" t="s">
        <v>244</v>
      </c>
      <c r="D39" s="24">
        <v>614</v>
      </c>
      <c r="E39" s="35" t="s">
        <v>157</v>
      </c>
      <c r="F39" s="10" t="s">
        <v>158</v>
      </c>
      <c r="G39" s="19" t="s">
        <v>50</v>
      </c>
      <c r="H39" s="19" t="s">
        <v>348</v>
      </c>
      <c r="I39" s="18">
        <f>VLOOKUP(F39,Sheet1!E:F,2,FALSE)</f>
        <v>-29.1206985</v>
      </c>
      <c r="J39" s="18">
        <f>VLOOKUP(F39,Sheet1!E:G,3,FALSE)</f>
        <v>26.224377699999899</v>
      </c>
    </row>
    <row r="40" spans="2:11" s="5" customFormat="1" x14ac:dyDescent="0.2">
      <c r="B40" s="15">
        <v>35</v>
      </c>
      <c r="C40" s="24" t="s">
        <v>244</v>
      </c>
      <c r="D40" s="24">
        <v>613</v>
      </c>
      <c r="E40" s="35" t="s">
        <v>159</v>
      </c>
      <c r="F40" s="10" t="s">
        <v>160</v>
      </c>
      <c r="G40" s="19" t="s">
        <v>50</v>
      </c>
      <c r="H40" s="19" t="s">
        <v>348</v>
      </c>
      <c r="I40" s="18">
        <f>VLOOKUP(F40,Sheet1!E:F,2,FALSE)</f>
        <v>-29.119491499999999</v>
      </c>
      <c r="J40" s="18">
        <f>VLOOKUP(F40,Sheet1!E:G,3,FALSE)</f>
        <v>26.223754699999901</v>
      </c>
    </row>
    <row r="41" spans="2:11" s="5" customFormat="1" x14ac:dyDescent="0.2">
      <c r="B41" s="15">
        <v>36</v>
      </c>
      <c r="C41" s="24" t="s">
        <v>244</v>
      </c>
      <c r="D41" s="24">
        <v>615</v>
      </c>
      <c r="E41" s="35" t="s">
        <v>161</v>
      </c>
      <c r="F41" s="10" t="s">
        <v>162</v>
      </c>
      <c r="G41" s="19" t="s">
        <v>161</v>
      </c>
      <c r="H41" s="19" t="s">
        <v>348</v>
      </c>
      <c r="I41" s="18">
        <f>VLOOKUP(F41,Sheet1!E:F,2,FALSE)</f>
        <v>-28.741261999999999</v>
      </c>
      <c r="J41" s="18">
        <f>VLOOKUP(F41,Sheet1!E:G,3,FALSE)</f>
        <v>24.7649129999999</v>
      </c>
    </row>
    <row r="42" spans="2:11" s="5" customFormat="1" x14ac:dyDescent="0.2">
      <c r="B42" s="81"/>
      <c r="C42" s="82"/>
      <c r="D42" s="82"/>
      <c r="E42" s="83"/>
      <c r="F42" s="84"/>
      <c r="G42" s="85"/>
      <c r="H42" s="86"/>
      <c r="I42" s="86"/>
      <c r="J42" s="86"/>
    </row>
    <row r="43" spans="2:11" s="5" customFormat="1" x14ac:dyDescent="0.2">
      <c r="B43" s="87"/>
      <c r="C43" s="88"/>
      <c r="D43" s="88"/>
      <c r="E43" s="89"/>
      <c r="F43" s="90"/>
      <c r="G43" s="91"/>
      <c r="H43" s="92"/>
      <c r="I43" s="92"/>
      <c r="J43" s="92"/>
    </row>
    <row r="44" spans="2:11" s="5" customFormat="1" x14ac:dyDescent="0.2">
      <c r="B44" s="96" t="s">
        <v>242</v>
      </c>
      <c r="C44" s="96"/>
      <c r="D44" s="96"/>
      <c r="E44" s="96"/>
      <c r="F44" s="96"/>
      <c r="G44" s="96"/>
      <c r="H44" s="26"/>
      <c r="I44" s="52"/>
      <c r="J44" s="52"/>
    </row>
    <row r="45" spans="2:11" s="3" customFormat="1" x14ac:dyDescent="0.2">
      <c r="B45" s="102" t="s">
        <v>36</v>
      </c>
      <c r="C45" s="102"/>
      <c r="D45" s="102"/>
      <c r="E45" s="102"/>
      <c r="F45" s="102"/>
      <c r="G45" s="102"/>
      <c r="H45" s="27"/>
      <c r="I45" s="55"/>
      <c r="J45" s="55"/>
    </row>
    <row r="46" spans="2:11" s="3" customFormat="1" x14ac:dyDescent="0.2">
      <c r="B46" s="51">
        <v>1</v>
      </c>
      <c r="C46" s="38" t="s">
        <v>243</v>
      </c>
      <c r="D46" s="38">
        <v>10050</v>
      </c>
      <c r="E46" s="42" t="s">
        <v>35</v>
      </c>
      <c r="F46" s="40" t="s">
        <v>19</v>
      </c>
      <c r="G46" s="41" t="s">
        <v>58</v>
      </c>
      <c r="H46" s="19" t="s">
        <v>355</v>
      </c>
      <c r="I46" s="18" t="e">
        <f>VLOOKUP(F46,Sheet1!E:F,2,FALSE)</f>
        <v>#N/A</v>
      </c>
      <c r="J46" s="18" t="e">
        <f>VLOOKUP(F46,Sheet1!E:G,3,FALSE)</f>
        <v>#N/A</v>
      </c>
    </row>
    <row r="47" spans="2:11" s="3" customFormat="1" x14ac:dyDescent="0.2">
      <c r="B47" s="51">
        <v>2</v>
      </c>
      <c r="C47" s="38" t="s">
        <v>243</v>
      </c>
      <c r="D47" s="44">
        <v>10051</v>
      </c>
      <c r="E47" s="48" t="s">
        <v>173</v>
      </c>
      <c r="F47" s="46" t="s">
        <v>201</v>
      </c>
      <c r="G47" s="41" t="s">
        <v>52</v>
      </c>
      <c r="H47" s="19" t="s">
        <v>355</v>
      </c>
      <c r="I47" s="18">
        <f>VLOOKUP(F47,Sheet1!E:F,2,FALSE)</f>
        <v>-28.887333999999999</v>
      </c>
      <c r="J47" s="18">
        <f>VLOOKUP(F47,Sheet1!E:G,3,FALSE)</f>
        <v>31.472550999999999</v>
      </c>
    </row>
    <row r="48" spans="2:11" s="3" customFormat="1" x14ac:dyDescent="0.2">
      <c r="B48" s="51">
        <v>3</v>
      </c>
      <c r="C48" s="38" t="s">
        <v>243</v>
      </c>
      <c r="D48" s="44">
        <v>10036</v>
      </c>
      <c r="E48" s="39" t="s">
        <v>34</v>
      </c>
      <c r="F48" s="40" t="s">
        <v>8</v>
      </c>
      <c r="G48" s="41" t="s">
        <v>41</v>
      </c>
      <c r="H48" s="19" t="s">
        <v>355</v>
      </c>
      <c r="I48" s="18">
        <f>VLOOKUP(F48,Sheet1!E:F,2,FALSE)</f>
        <v>-30.341363000000001</v>
      </c>
      <c r="J48" s="18">
        <f>VLOOKUP(F48,Sheet1!E:G,3,FALSE)</f>
        <v>28.805954</v>
      </c>
    </row>
    <row r="49" spans="2:10" s="3" customFormat="1" x14ac:dyDescent="0.2">
      <c r="B49" s="51">
        <v>4</v>
      </c>
      <c r="C49" s="38" t="s">
        <v>243</v>
      </c>
      <c r="D49" s="44">
        <v>10054</v>
      </c>
      <c r="E49" s="48" t="s">
        <v>174</v>
      </c>
      <c r="F49" s="46" t="s">
        <v>202</v>
      </c>
      <c r="G49" s="41" t="s">
        <v>56</v>
      </c>
      <c r="H49" s="19" t="s">
        <v>355</v>
      </c>
      <c r="I49" s="18">
        <f>VLOOKUP(F49,Sheet1!E:F,2,FALSE)</f>
        <v>-27.913575999999999</v>
      </c>
      <c r="J49" s="18">
        <f>VLOOKUP(F49,Sheet1!E:G,3,FALSE)</f>
        <v>31.647984000000001</v>
      </c>
    </row>
    <row r="50" spans="2:10" s="3" customFormat="1" x14ac:dyDescent="0.2">
      <c r="B50" s="51">
        <v>5</v>
      </c>
      <c r="C50" s="38" t="s">
        <v>243</v>
      </c>
      <c r="D50" s="44">
        <v>10055</v>
      </c>
      <c r="E50" s="48" t="s">
        <v>175</v>
      </c>
      <c r="F50" s="46" t="s">
        <v>203</v>
      </c>
      <c r="G50" s="41" t="s">
        <v>57</v>
      </c>
      <c r="H50" s="19" t="s">
        <v>355</v>
      </c>
      <c r="I50" s="18">
        <f>VLOOKUP(F50,Sheet1!E:F,2,FALSE)</f>
        <v>-28.209800000000001</v>
      </c>
      <c r="J50" s="18">
        <f>VLOOKUP(F50,Sheet1!E:G,3,FALSE)</f>
        <v>30.674464</v>
      </c>
    </row>
    <row r="51" spans="2:10" s="3" customFormat="1" x14ac:dyDescent="0.2">
      <c r="B51" s="51">
        <v>6</v>
      </c>
      <c r="C51" s="38" t="s">
        <v>243</v>
      </c>
      <c r="D51" s="44" t="s">
        <v>334</v>
      </c>
      <c r="E51" s="48" t="s">
        <v>176</v>
      </c>
      <c r="F51" s="46" t="s">
        <v>204</v>
      </c>
      <c r="G51" s="41" t="s">
        <v>53</v>
      </c>
      <c r="H51" s="19" t="s">
        <v>355</v>
      </c>
      <c r="I51" s="18">
        <f>VLOOKUP(F51,Sheet1!E:F,2,FALSE)</f>
        <v>-28.780137</v>
      </c>
      <c r="J51" s="18">
        <f>VLOOKUP(F51,Sheet1!E:G,3,FALSE)</f>
        <v>31.902401000000001</v>
      </c>
    </row>
    <row r="52" spans="2:10" s="3" customFormat="1" x14ac:dyDescent="0.2">
      <c r="B52" s="51">
        <v>7</v>
      </c>
      <c r="C52" s="38" t="s">
        <v>243</v>
      </c>
      <c r="D52" s="44">
        <v>10204</v>
      </c>
      <c r="E52" s="48" t="s">
        <v>182</v>
      </c>
      <c r="F52" s="46" t="s">
        <v>210</v>
      </c>
      <c r="G52" s="41" t="s">
        <v>42</v>
      </c>
      <c r="H52" s="19" t="s">
        <v>355</v>
      </c>
      <c r="I52" s="18">
        <f>VLOOKUP(F52,Sheet1!E:F,2,FALSE)</f>
        <v>-29.851191</v>
      </c>
      <c r="J52" s="18">
        <f>VLOOKUP(F52,Sheet1!E:G,3,FALSE)</f>
        <v>31.034483999999999</v>
      </c>
    </row>
    <row r="53" spans="2:10" s="3" customFormat="1" x14ac:dyDescent="0.2">
      <c r="B53" s="51">
        <v>8</v>
      </c>
      <c r="C53" s="38" t="s">
        <v>243</v>
      </c>
      <c r="D53" s="44">
        <v>10205</v>
      </c>
      <c r="E53" s="39" t="s">
        <v>4</v>
      </c>
      <c r="F53" s="40" t="s">
        <v>5</v>
      </c>
      <c r="G53" s="41" t="s">
        <v>41</v>
      </c>
      <c r="H53" s="19" t="s">
        <v>355</v>
      </c>
      <c r="I53" s="18">
        <f>VLOOKUP(F53,Sheet1!E:F,2,FALSE)</f>
        <v>-31.362212</v>
      </c>
      <c r="J53" s="18">
        <f>VLOOKUP(F53,Sheet1!E:G,3,FALSE)</f>
        <v>29.573976999999999</v>
      </c>
    </row>
    <row r="54" spans="2:10" x14ac:dyDescent="0.2">
      <c r="B54" s="51">
        <v>9</v>
      </c>
      <c r="C54" s="38" t="s">
        <v>243</v>
      </c>
      <c r="D54" s="44">
        <v>10206</v>
      </c>
      <c r="E54" s="48" t="s">
        <v>177</v>
      </c>
      <c r="F54" s="46" t="s">
        <v>205</v>
      </c>
      <c r="G54" s="41" t="s">
        <v>43</v>
      </c>
      <c r="H54" s="19" t="s">
        <v>355</v>
      </c>
      <c r="I54" s="18">
        <f>VLOOKUP(F54,Sheet1!E:F,2,FALSE)</f>
        <v>-27.098935000000001</v>
      </c>
      <c r="J54" s="18">
        <f>VLOOKUP(F54,Sheet1!E:G,3,FALSE)</f>
        <v>32.160203000000003</v>
      </c>
    </row>
    <row r="55" spans="2:10" x14ac:dyDescent="0.2">
      <c r="B55" s="51">
        <v>10</v>
      </c>
      <c r="C55" s="38" t="s">
        <v>243</v>
      </c>
      <c r="D55" s="44">
        <v>10207</v>
      </c>
      <c r="E55" s="48" t="s">
        <v>178</v>
      </c>
      <c r="F55" s="46" t="s">
        <v>206</v>
      </c>
      <c r="G55" s="41" t="s">
        <v>43</v>
      </c>
      <c r="H55" s="19" t="s">
        <v>355</v>
      </c>
      <c r="I55" s="18">
        <f>VLOOKUP(F55,Sheet1!E:F,2,FALSE)</f>
        <v>-26.990987000000001</v>
      </c>
      <c r="J55" s="18">
        <f>VLOOKUP(F55,Sheet1!E:G,3,FALSE)</f>
        <v>32.749744999999997</v>
      </c>
    </row>
    <row r="56" spans="2:10" x14ac:dyDescent="0.2">
      <c r="B56" s="51">
        <v>11</v>
      </c>
      <c r="C56" s="38" t="s">
        <v>243</v>
      </c>
      <c r="D56" s="44">
        <v>10208</v>
      </c>
      <c r="E56" s="48" t="s">
        <v>179</v>
      </c>
      <c r="F56" s="46" t="s">
        <v>207</v>
      </c>
      <c r="G56" s="41" t="s">
        <v>54</v>
      </c>
      <c r="H56" s="19" t="s">
        <v>355</v>
      </c>
      <c r="I56" s="18">
        <f>VLOOKUP(F56,Sheet1!E:F,2,FALSE)</f>
        <v>-28.417218999999999</v>
      </c>
      <c r="J56" s="18">
        <f>VLOOKUP(F56,Sheet1!E:G,3,FALSE)</f>
        <v>32.187309999999997</v>
      </c>
    </row>
    <row r="57" spans="2:10" x14ac:dyDescent="0.2">
      <c r="B57" s="51">
        <v>12</v>
      </c>
      <c r="C57" s="38" t="s">
        <v>243</v>
      </c>
      <c r="D57" s="44">
        <v>10209</v>
      </c>
      <c r="E57" s="42" t="s">
        <v>17</v>
      </c>
      <c r="F57" s="40" t="s">
        <v>18</v>
      </c>
      <c r="G57" s="41" t="s">
        <v>55</v>
      </c>
      <c r="H57" s="19" t="s">
        <v>355</v>
      </c>
      <c r="I57" s="18" t="e">
        <f>VLOOKUP(F57,Sheet1!E:F,2,FALSE)</f>
        <v>#N/A</v>
      </c>
      <c r="J57" s="18" t="e">
        <f>VLOOKUP(F57,Sheet1!E:G,3,FALSE)</f>
        <v>#N/A</v>
      </c>
    </row>
    <row r="58" spans="2:10" x14ac:dyDescent="0.2">
      <c r="B58" s="51">
        <v>13</v>
      </c>
      <c r="C58" s="43" t="s">
        <v>243</v>
      </c>
      <c r="D58" s="44">
        <v>10210</v>
      </c>
      <c r="E58" s="48" t="s">
        <v>181</v>
      </c>
      <c r="F58" s="46" t="s">
        <v>209</v>
      </c>
      <c r="G58" s="41" t="s">
        <v>51</v>
      </c>
      <c r="H58" s="19" t="s">
        <v>355</v>
      </c>
      <c r="I58" s="18">
        <f>VLOOKUP(F58,Sheet1!E:F,2,FALSE)</f>
        <v>-29.812951999999999</v>
      </c>
      <c r="J58" s="18">
        <f>VLOOKUP(F58,Sheet1!E:G,3,FALSE)</f>
        <v>30.825706</v>
      </c>
    </row>
    <row r="59" spans="2:10" x14ac:dyDescent="0.2">
      <c r="B59" s="100" t="s">
        <v>45</v>
      </c>
      <c r="C59" s="100"/>
      <c r="D59" s="100"/>
      <c r="E59" s="100"/>
      <c r="F59" s="100"/>
      <c r="G59" s="100"/>
      <c r="H59" s="29"/>
      <c r="I59" s="53"/>
      <c r="J59" s="53"/>
    </row>
    <row r="60" spans="2:10" x14ac:dyDescent="0.2">
      <c r="B60" s="101" t="s">
        <v>41</v>
      </c>
      <c r="C60" s="101"/>
      <c r="D60" s="101"/>
      <c r="E60" s="101"/>
      <c r="F60" s="101"/>
      <c r="G60" s="101"/>
      <c r="H60" s="30"/>
      <c r="I60" s="54"/>
      <c r="J60" s="54"/>
    </row>
    <row r="61" spans="2:10" x14ac:dyDescent="0.2">
      <c r="B61" s="97" t="s">
        <v>41</v>
      </c>
      <c r="C61" s="98"/>
      <c r="D61" s="98"/>
      <c r="E61" s="98"/>
      <c r="F61" s="99"/>
      <c r="G61" s="34"/>
      <c r="H61" s="34"/>
      <c r="I61" s="54"/>
      <c r="J61" s="54"/>
    </row>
    <row r="62" spans="2:10" x14ac:dyDescent="0.2">
      <c r="B62" s="12">
        <v>14</v>
      </c>
      <c r="C62" s="44" t="s">
        <v>243</v>
      </c>
      <c r="D62" s="44">
        <v>10028</v>
      </c>
      <c r="E62" s="45" t="s">
        <v>325</v>
      </c>
      <c r="F62" s="46" t="s">
        <v>326</v>
      </c>
      <c r="G62" s="47" t="s">
        <v>41</v>
      </c>
      <c r="H62" s="19" t="s">
        <v>355</v>
      </c>
      <c r="I62" s="18">
        <f>VLOOKUP(F62,Sheet1!E:F,2,FALSE)</f>
        <v>-30.861806999999999</v>
      </c>
      <c r="J62" s="18">
        <f>VLOOKUP(F62,Sheet1!E:G,3,FALSE)</f>
        <v>29.857157000000001</v>
      </c>
    </row>
    <row r="63" spans="2:10" x14ac:dyDescent="0.2">
      <c r="B63" s="12">
        <v>15</v>
      </c>
      <c r="C63" s="44" t="s">
        <v>243</v>
      </c>
      <c r="D63" s="44">
        <v>10211</v>
      </c>
      <c r="E63" s="48" t="s">
        <v>106</v>
      </c>
      <c r="F63" s="46" t="s">
        <v>107</v>
      </c>
      <c r="G63" s="47" t="s">
        <v>44</v>
      </c>
      <c r="H63" s="19" t="s">
        <v>355</v>
      </c>
      <c r="I63" s="18">
        <f>VLOOKUP(F63,Sheet1!E:F,2,FALSE)</f>
        <v>-32.328741999999998</v>
      </c>
      <c r="J63" s="18">
        <f>VLOOKUP(F63,Sheet1!E:G,3,FALSE)</f>
        <v>28.154779999999999</v>
      </c>
    </row>
    <row r="64" spans="2:10" x14ac:dyDescent="0.2">
      <c r="B64" s="12">
        <v>16</v>
      </c>
      <c r="C64" s="44" t="s">
        <v>243</v>
      </c>
      <c r="D64" s="44">
        <v>10212</v>
      </c>
      <c r="E64" s="48" t="s">
        <v>108</v>
      </c>
      <c r="F64" s="46" t="s">
        <v>109</v>
      </c>
      <c r="G64" s="47" t="s">
        <v>268</v>
      </c>
      <c r="H64" s="19" t="s">
        <v>355</v>
      </c>
      <c r="I64" s="18">
        <f>VLOOKUP(F64,Sheet1!E:F,2,FALSE)</f>
        <v>-31.674782</v>
      </c>
      <c r="J64" s="18">
        <f>VLOOKUP(F64,Sheet1!E:G,3,FALSE)</f>
        <v>27.997655999999999</v>
      </c>
    </row>
    <row r="65" spans="2:10" x14ac:dyDescent="0.2">
      <c r="B65" s="12">
        <v>17</v>
      </c>
      <c r="C65" s="44" t="s">
        <v>243</v>
      </c>
      <c r="D65" s="44">
        <v>10213</v>
      </c>
      <c r="E65" s="48" t="s">
        <v>110</v>
      </c>
      <c r="F65" s="46" t="s">
        <v>111</v>
      </c>
      <c r="G65" s="47" t="s">
        <v>269</v>
      </c>
      <c r="H65" s="19" t="s">
        <v>355</v>
      </c>
      <c r="I65" s="18">
        <f>VLOOKUP(F65,Sheet1!E:F,2,FALSE)</f>
        <v>-32.097267000000002</v>
      </c>
      <c r="J65" s="18">
        <f>VLOOKUP(F65,Sheet1!E:G,3,FALSE)</f>
        <v>28.300764999999998</v>
      </c>
    </row>
    <row r="66" spans="2:10" x14ac:dyDescent="0.2">
      <c r="B66" s="12">
        <v>18</v>
      </c>
      <c r="C66" s="44" t="s">
        <v>243</v>
      </c>
      <c r="D66" s="44">
        <v>10214</v>
      </c>
      <c r="E66" s="48" t="s">
        <v>112</v>
      </c>
      <c r="F66" s="46" t="s">
        <v>113</v>
      </c>
      <c r="G66" s="47" t="s">
        <v>270</v>
      </c>
      <c r="H66" s="19" t="s">
        <v>355</v>
      </c>
      <c r="I66" s="18">
        <f>VLOOKUP(F66,Sheet1!E:F,2,FALSE)</f>
        <v>-32.889420999999999</v>
      </c>
      <c r="J66" s="18">
        <f>VLOOKUP(F66,Sheet1!E:G,3,FALSE)</f>
        <v>27.393307</v>
      </c>
    </row>
    <row r="67" spans="2:10" x14ac:dyDescent="0.2">
      <c r="B67" s="12">
        <v>19</v>
      </c>
      <c r="C67" s="44" t="s">
        <v>243</v>
      </c>
      <c r="D67" s="44" t="s">
        <v>327</v>
      </c>
      <c r="E67" s="48" t="s">
        <v>328</v>
      </c>
      <c r="F67" s="46" t="s">
        <v>329</v>
      </c>
      <c r="G67" s="47" t="s">
        <v>330</v>
      </c>
      <c r="H67" s="19" t="s">
        <v>355</v>
      </c>
      <c r="I67" s="18">
        <f>VLOOKUP(F67,Sheet1!E:F,2,FALSE)</f>
        <v>-31.362109</v>
      </c>
      <c r="J67" s="18">
        <f>VLOOKUP(F67,Sheet1!E:G,3,FALSE)</f>
        <v>29.572101</v>
      </c>
    </row>
    <row r="68" spans="2:10" x14ac:dyDescent="0.2">
      <c r="B68" s="12">
        <v>20</v>
      </c>
      <c r="C68" s="44" t="s">
        <v>243</v>
      </c>
      <c r="D68" s="44">
        <v>10215</v>
      </c>
      <c r="E68" s="48" t="s">
        <v>114</v>
      </c>
      <c r="F68" s="46" t="s">
        <v>115</v>
      </c>
      <c r="G68" s="47" t="s">
        <v>271</v>
      </c>
      <c r="H68" s="19" t="s">
        <v>355</v>
      </c>
      <c r="I68" s="18">
        <f>VLOOKUP(F68,Sheet1!E:F,2,FALSE)</f>
        <v>-31.068878999999999</v>
      </c>
      <c r="J68" s="18">
        <f>VLOOKUP(F68,Sheet1!E:G,3,FALSE)</f>
        <v>28.351517999999999</v>
      </c>
    </row>
    <row r="69" spans="2:10" x14ac:dyDescent="0.2">
      <c r="B69" s="12">
        <v>21</v>
      </c>
      <c r="C69" s="44" t="s">
        <v>243</v>
      </c>
      <c r="D69" s="44">
        <v>10216</v>
      </c>
      <c r="E69" s="48" t="s">
        <v>116</v>
      </c>
      <c r="F69" s="46" t="s">
        <v>117</v>
      </c>
      <c r="G69" s="47" t="s">
        <v>272</v>
      </c>
      <c r="H69" s="19" t="s">
        <v>355</v>
      </c>
      <c r="I69" s="18">
        <f>VLOOKUP(F69,Sheet1!E:F,2,FALSE)</f>
        <v>-30.893626000000001</v>
      </c>
      <c r="J69" s="18">
        <f>VLOOKUP(F69,Sheet1!E:G,3,FALSE)</f>
        <v>28.997821999999999</v>
      </c>
    </row>
    <row r="70" spans="2:10" x14ac:dyDescent="0.2">
      <c r="B70" s="12">
        <v>22</v>
      </c>
      <c r="C70" s="44" t="s">
        <v>243</v>
      </c>
      <c r="D70" s="44">
        <v>10217</v>
      </c>
      <c r="E70" s="48" t="s">
        <v>118</v>
      </c>
      <c r="F70" s="46" t="s">
        <v>119</v>
      </c>
      <c r="G70" s="47" t="s">
        <v>273</v>
      </c>
      <c r="H70" s="19" t="s">
        <v>355</v>
      </c>
      <c r="I70" s="18">
        <f>VLOOKUP(F70,Sheet1!E:F,2,FALSE)</f>
        <v>-31.904268999999999</v>
      </c>
      <c r="J70" s="18">
        <f>VLOOKUP(F70,Sheet1!E:G,3,FALSE)</f>
        <v>26.878423999999999</v>
      </c>
    </row>
    <row r="71" spans="2:10" x14ac:dyDescent="0.2">
      <c r="B71" s="12">
        <v>23</v>
      </c>
      <c r="C71" s="44" t="s">
        <v>243</v>
      </c>
      <c r="D71" s="44">
        <v>10218</v>
      </c>
      <c r="E71" s="48" t="s">
        <v>120</v>
      </c>
      <c r="F71" s="46" t="s">
        <v>121</v>
      </c>
      <c r="G71" s="47" t="s">
        <v>274</v>
      </c>
      <c r="H71" s="19" t="s">
        <v>355</v>
      </c>
      <c r="I71" s="18">
        <f>VLOOKUP(F71,Sheet1!E:F,2,FALSE)</f>
        <v>-31.598354</v>
      </c>
      <c r="J71" s="18">
        <f>VLOOKUP(F71,Sheet1!E:G,3,FALSE)</f>
        <v>28.781625999999999</v>
      </c>
    </row>
    <row r="72" spans="2:10" x14ac:dyDescent="0.2">
      <c r="B72" s="12">
        <v>24</v>
      </c>
      <c r="C72" s="44" t="s">
        <v>244</v>
      </c>
      <c r="D72" s="44">
        <v>622</v>
      </c>
      <c r="E72" s="48" t="s">
        <v>183</v>
      </c>
      <c r="F72" s="46" t="s">
        <v>212</v>
      </c>
      <c r="G72" s="47" t="s">
        <v>277</v>
      </c>
      <c r="H72" s="19" t="s">
        <v>355</v>
      </c>
      <c r="I72" s="18">
        <f>VLOOKUP(F72,Sheet1!E:F,2,FALSE)</f>
        <v>-29.984041000000001</v>
      </c>
      <c r="J72" s="18">
        <f>VLOOKUP(F72,Sheet1!E:G,3,FALSE)</f>
        <v>30.927952000000001</v>
      </c>
    </row>
    <row r="73" spans="2:10" x14ac:dyDescent="0.2">
      <c r="B73" s="12">
        <v>25</v>
      </c>
      <c r="C73" s="44" t="s">
        <v>244</v>
      </c>
      <c r="D73" s="44">
        <v>623</v>
      </c>
      <c r="E73" s="48" t="s">
        <v>187</v>
      </c>
      <c r="F73" s="46" t="s">
        <v>216</v>
      </c>
      <c r="G73" s="47" t="s">
        <v>279</v>
      </c>
      <c r="H73" s="19" t="s">
        <v>355</v>
      </c>
      <c r="I73" s="18">
        <f>VLOOKUP(F73,Sheet1!E:F,2,FALSE)</f>
        <v>-29.814627999999999</v>
      </c>
      <c r="J73" s="18">
        <f>VLOOKUP(F73,Sheet1!E:G,3,FALSE)</f>
        <v>30.854551000000001</v>
      </c>
    </row>
    <row r="74" spans="2:10" x14ac:dyDescent="0.2">
      <c r="B74" s="12">
        <v>26</v>
      </c>
      <c r="C74" s="44" t="s">
        <v>244</v>
      </c>
      <c r="D74" s="44">
        <v>790</v>
      </c>
      <c r="E74" s="48" t="s">
        <v>197</v>
      </c>
      <c r="F74" s="46" t="s">
        <v>226</v>
      </c>
      <c r="G74" s="47" t="s">
        <v>250</v>
      </c>
      <c r="H74" s="19" t="s">
        <v>355</v>
      </c>
      <c r="I74" s="18">
        <f>VLOOKUP(F74,Sheet1!E:F,2,FALSE)</f>
        <v>-29.813144000000001</v>
      </c>
      <c r="J74" s="18">
        <f>VLOOKUP(F74,Sheet1!E:G,3,FALSE)</f>
        <v>30.856622999999999</v>
      </c>
    </row>
    <row r="75" spans="2:10" x14ac:dyDescent="0.2">
      <c r="B75" s="12">
        <v>37</v>
      </c>
      <c r="C75" s="44" t="s">
        <v>244</v>
      </c>
      <c r="D75" s="44">
        <v>735</v>
      </c>
      <c r="E75" s="48" t="s">
        <v>193</v>
      </c>
      <c r="F75" s="46" t="s">
        <v>222</v>
      </c>
      <c r="G75" s="47" t="s">
        <v>53</v>
      </c>
      <c r="H75" s="19" t="s">
        <v>355</v>
      </c>
      <c r="I75" s="18">
        <f>VLOOKUP(F75,Sheet1!E:F,2,FALSE)</f>
        <v>-28.212299000000002</v>
      </c>
      <c r="J75" s="18">
        <f>VLOOKUP(F75,Sheet1!E:G,3,FALSE)</f>
        <v>30.675761999999999</v>
      </c>
    </row>
    <row r="76" spans="2:10" x14ac:dyDescent="0.2">
      <c r="B76" s="12">
        <v>27</v>
      </c>
      <c r="C76" s="44" t="s">
        <v>244</v>
      </c>
      <c r="D76" s="44">
        <v>787</v>
      </c>
      <c r="E76" s="48" t="s">
        <v>196</v>
      </c>
      <c r="F76" s="46" t="s">
        <v>225</v>
      </c>
      <c r="G76" s="47" t="s">
        <v>284</v>
      </c>
      <c r="H76" s="19" t="s">
        <v>355</v>
      </c>
      <c r="I76" s="18">
        <f>VLOOKUP(F76,Sheet1!E:F,2,FALSE)</f>
        <v>-26.905487999999998</v>
      </c>
      <c r="J76" s="18">
        <f>VLOOKUP(F76,Sheet1!E:G,3,FALSE)</f>
        <v>32.282916</v>
      </c>
    </row>
    <row r="77" spans="2:10" x14ac:dyDescent="0.2">
      <c r="B77" s="12">
        <v>28</v>
      </c>
      <c r="C77" s="44" t="s">
        <v>244</v>
      </c>
      <c r="D77" s="44">
        <v>624</v>
      </c>
      <c r="E77" s="48" t="s">
        <v>194</v>
      </c>
      <c r="F77" s="46" t="s">
        <v>223</v>
      </c>
      <c r="G77" s="47" t="s">
        <v>283</v>
      </c>
      <c r="H77" s="19" t="s">
        <v>355</v>
      </c>
      <c r="I77" s="18">
        <f>VLOOKUP(F77,Sheet1!E:F,2,FALSE)</f>
        <v>-27.909203000000002</v>
      </c>
      <c r="J77" s="18">
        <f>VLOOKUP(F77,Sheet1!E:G,3,FALSE)</f>
        <v>31.646301000000001</v>
      </c>
    </row>
    <row r="78" spans="2:10" x14ac:dyDescent="0.2">
      <c r="B78" s="12">
        <v>29</v>
      </c>
      <c r="C78" s="44" t="s">
        <v>244</v>
      </c>
      <c r="D78" s="44">
        <v>761</v>
      </c>
      <c r="E78" s="48" t="s">
        <v>200</v>
      </c>
      <c r="F78" s="46" t="s">
        <v>229</v>
      </c>
      <c r="G78" s="47" t="s">
        <v>252</v>
      </c>
      <c r="H78" s="19" t="s">
        <v>355</v>
      </c>
      <c r="I78" s="18">
        <f>VLOOKUP(F78,Sheet1!E:F,2,FALSE)</f>
        <v>-26.988742899999998</v>
      </c>
      <c r="J78" s="18">
        <f>VLOOKUP(F78,Sheet1!E:G,3,FALSE)</f>
        <v>32.7570914</v>
      </c>
    </row>
    <row r="79" spans="2:10" x14ac:dyDescent="0.2">
      <c r="B79" s="12">
        <v>30</v>
      </c>
      <c r="C79" s="44" t="s">
        <v>244</v>
      </c>
      <c r="D79" s="44">
        <v>626</v>
      </c>
      <c r="E79" s="48" t="s">
        <v>195</v>
      </c>
      <c r="F79" s="46" t="s">
        <v>224</v>
      </c>
      <c r="G79" s="47" t="s">
        <v>251</v>
      </c>
      <c r="H79" s="19" t="s">
        <v>355</v>
      </c>
      <c r="I79" s="18">
        <f>VLOOKUP(F79,Sheet1!E:F,2,FALSE)</f>
        <v>-27.754594000000001</v>
      </c>
      <c r="J79" s="18">
        <f>VLOOKUP(F79,Sheet1!E:G,3,FALSE)</f>
        <v>29.935932999999999</v>
      </c>
    </row>
    <row r="80" spans="2:10" x14ac:dyDescent="0.2">
      <c r="B80" s="12">
        <v>31</v>
      </c>
      <c r="C80" s="44" t="s">
        <v>244</v>
      </c>
      <c r="D80" s="44">
        <v>646</v>
      </c>
      <c r="E80" s="48" t="s">
        <v>188</v>
      </c>
      <c r="F80" s="46" t="s">
        <v>217</v>
      </c>
      <c r="G80" s="47" t="s">
        <v>280</v>
      </c>
      <c r="H80" s="19" t="s">
        <v>355</v>
      </c>
      <c r="I80" s="18">
        <f>VLOOKUP(F80,Sheet1!E:F,2,FALSE)</f>
        <v>-29.808589999999999</v>
      </c>
      <c r="J80" s="18">
        <f>VLOOKUP(F80,Sheet1!E:G,3,FALSE)</f>
        <v>30.8432</v>
      </c>
    </row>
    <row r="81" spans="2:10" x14ac:dyDescent="0.2">
      <c r="B81" s="12">
        <v>32</v>
      </c>
      <c r="C81" s="44" t="s">
        <v>244</v>
      </c>
      <c r="D81" s="44">
        <v>609</v>
      </c>
      <c r="E81" s="48" t="s">
        <v>190</v>
      </c>
      <c r="F81" s="46" t="s">
        <v>219</v>
      </c>
      <c r="G81" s="47" t="s">
        <v>281</v>
      </c>
      <c r="H81" s="19" t="s">
        <v>355</v>
      </c>
      <c r="I81" s="18">
        <f>VLOOKUP(F81,Sheet1!E:F,2,FALSE)</f>
        <v>-29.595459999999999</v>
      </c>
      <c r="J81" s="18">
        <f>VLOOKUP(F81,Sheet1!E:G,3,FALSE)</f>
        <v>30.384650000000001</v>
      </c>
    </row>
    <row r="82" spans="2:10" x14ac:dyDescent="0.2">
      <c r="B82" s="12">
        <v>33</v>
      </c>
      <c r="C82" s="44" t="s">
        <v>244</v>
      </c>
      <c r="D82" s="44">
        <v>627</v>
      </c>
      <c r="E82" s="48" t="s">
        <v>185</v>
      </c>
      <c r="F82" s="46" t="s">
        <v>214</v>
      </c>
      <c r="G82" s="47" t="s">
        <v>278</v>
      </c>
      <c r="H82" s="19" t="s">
        <v>355</v>
      </c>
      <c r="I82" s="18">
        <f>VLOOKUP(F82,Sheet1!E:F,2,FALSE)</f>
        <v>-29.855813000000001</v>
      </c>
      <c r="J82" s="18">
        <f>VLOOKUP(F82,Sheet1!E:G,3,FALSE)</f>
        <v>31.010553999999999</v>
      </c>
    </row>
    <row r="83" spans="2:10" x14ac:dyDescent="0.2">
      <c r="B83" s="12">
        <v>34</v>
      </c>
      <c r="C83" s="44" t="s">
        <v>244</v>
      </c>
      <c r="D83" s="44">
        <v>786</v>
      </c>
      <c r="E83" s="48" t="s">
        <v>198</v>
      </c>
      <c r="F83" s="46" t="s">
        <v>227</v>
      </c>
      <c r="G83" s="47" t="s">
        <v>278</v>
      </c>
      <c r="H83" s="19" t="s">
        <v>355</v>
      </c>
      <c r="I83" s="18">
        <f>VLOOKUP(F83,Sheet1!E:F,2,FALSE)</f>
        <v>-29.813320599999901</v>
      </c>
      <c r="J83" s="18">
        <f>VLOOKUP(F83,Sheet1!E:G,3,FALSE)</f>
        <v>30.8569777999999</v>
      </c>
    </row>
    <row r="84" spans="2:10" x14ac:dyDescent="0.2">
      <c r="B84" s="12">
        <v>35</v>
      </c>
      <c r="C84" s="44" t="s">
        <v>244</v>
      </c>
      <c r="D84" s="44">
        <v>628</v>
      </c>
      <c r="E84" s="48" t="s">
        <v>186</v>
      </c>
      <c r="F84" s="46" t="s">
        <v>215</v>
      </c>
      <c r="G84" s="47" t="s">
        <v>277</v>
      </c>
      <c r="H84" s="19" t="s">
        <v>355</v>
      </c>
      <c r="I84" s="18">
        <f>VLOOKUP(F84,Sheet1!E:F,2,FALSE)</f>
        <v>-29.844951999999999</v>
      </c>
      <c r="J84" s="18">
        <f>VLOOKUP(F84,Sheet1!E:G,3,FALSE)</f>
        <v>31.020572000000001</v>
      </c>
    </row>
    <row r="85" spans="2:10" x14ac:dyDescent="0.2">
      <c r="B85" s="12">
        <v>36</v>
      </c>
      <c r="C85" s="44" t="s">
        <v>244</v>
      </c>
      <c r="D85" s="44">
        <v>749</v>
      </c>
      <c r="E85" s="48" t="s">
        <v>191</v>
      </c>
      <c r="F85" s="46" t="s">
        <v>220</v>
      </c>
      <c r="G85" s="47" t="s">
        <v>282</v>
      </c>
      <c r="H85" s="19" t="s">
        <v>355</v>
      </c>
      <c r="I85" s="18">
        <f>VLOOKUP(F85,Sheet1!E:F,2,FALSE)</f>
        <v>-28.751664000000002</v>
      </c>
      <c r="J85" s="18">
        <f>VLOOKUP(F85,Sheet1!E:G,3,FALSE)</f>
        <v>32.050373999999998</v>
      </c>
    </row>
    <row r="86" spans="2:10" x14ac:dyDescent="0.2">
      <c r="B86" s="12">
        <v>37</v>
      </c>
      <c r="C86" s="44" t="s">
        <v>244</v>
      </c>
      <c r="D86" s="44">
        <v>629</v>
      </c>
      <c r="E86" s="48" t="s">
        <v>184</v>
      </c>
      <c r="F86" s="46" t="s">
        <v>213</v>
      </c>
      <c r="G86" s="47" t="s">
        <v>276</v>
      </c>
      <c r="H86" s="19" t="s">
        <v>355</v>
      </c>
      <c r="I86" s="18">
        <f>VLOOKUP(F86,Sheet1!E:F,2,FALSE)</f>
        <v>-29.858305999999999</v>
      </c>
      <c r="J86" s="18">
        <f>VLOOKUP(F86,Sheet1!E:G,3,FALSE)</f>
        <v>31.010259999999999</v>
      </c>
    </row>
    <row r="87" spans="2:10" x14ac:dyDescent="0.2">
      <c r="B87" s="12">
        <v>38</v>
      </c>
      <c r="C87" s="44" t="s">
        <v>244</v>
      </c>
      <c r="D87" s="44">
        <v>630</v>
      </c>
      <c r="E87" s="48" t="s">
        <v>189</v>
      </c>
      <c r="F87" s="46" t="s">
        <v>218</v>
      </c>
      <c r="G87" s="47" t="s">
        <v>277</v>
      </c>
      <c r="H87" s="19" t="s">
        <v>355</v>
      </c>
      <c r="I87" s="18">
        <f>VLOOKUP(F87,Sheet1!E:F,2,FALSE)</f>
        <v>-29.748888000000001</v>
      </c>
      <c r="J87" s="18">
        <f>VLOOKUP(F87,Sheet1!E:G,3,FALSE)</f>
        <v>30.973020999999999</v>
      </c>
    </row>
    <row r="88" spans="2:10" x14ac:dyDescent="0.2">
      <c r="B88" s="12">
        <v>39</v>
      </c>
      <c r="C88" s="43" t="s">
        <v>244</v>
      </c>
      <c r="D88" s="44">
        <v>10219</v>
      </c>
      <c r="E88" s="39" t="s">
        <v>11</v>
      </c>
      <c r="F88" s="40" t="s">
        <v>12</v>
      </c>
      <c r="G88" s="41" t="s">
        <v>44</v>
      </c>
      <c r="H88" s="19" t="s">
        <v>355</v>
      </c>
      <c r="I88" s="18" t="e">
        <f>VLOOKUP(F88,Sheet1!E:F,2,FALSE)</f>
        <v>#N/A</v>
      </c>
      <c r="J88" s="18" t="e">
        <f>VLOOKUP(F88,Sheet1!E:G,3,FALSE)</f>
        <v>#N/A</v>
      </c>
    </row>
    <row r="89" spans="2:10" x14ac:dyDescent="0.2">
      <c r="B89" s="12">
        <v>41</v>
      </c>
      <c r="C89" s="44" t="s">
        <v>243</v>
      </c>
      <c r="D89" s="44">
        <v>10221</v>
      </c>
      <c r="E89" s="48" t="s">
        <v>515</v>
      </c>
      <c r="F89" s="46" t="s">
        <v>134</v>
      </c>
      <c r="G89" s="47" t="s">
        <v>275</v>
      </c>
      <c r="H89" s="19" t="s">
        <v>355</v>
      </c>
      <c r="I89" s="18">
        <f>VLOOKUP(F89,Sheet1!E:F,2,FALSE)</f>
        <v>-30.341111000000001</v>
      </c>
      <c r="J89" s="18">
        <f>VLOOKUP(F89,Sheet1!E:G,3,FALSE)</f>
        <v>28.810869</v>
      </c>
    </row>
    <row r="90" spans="2:10" x14ac:dyDescent="0.2">
      <c r="B90" s="12">
        <v>42</v>
      </c>
      <c r="C90" s="44" t="s">
        <v>244</v>
      </c>
      <c r="D90" s="44">
        <v>852</v>
      </c>
      <c r="E90" s="46" t="s">
        <v>163</v>
      </c>
      <c r="F90" s="46" t="s">
        <v>230</v>
      </c>
      <c r="G90" s="47" t="s">
        <v>253</v>
      </c>
      <c r="H90" s="19" t="s">
        <v>355</v>
      </c>
      <c r="I90" s="18">
        <f>VLOOKUP(F90,Sheet1!E:F,2,FALSE)</f>
        <v>-29.647130000000001</v>
      </c>
      <c r="J90" s="18">
        <f>VLOOKUP(F90,Sheet1!E:G,3,FALSE)</f>
        <v>30.321802599999899</v>
      </c>
    </row>
    <row r="91" spans="2:10" x14ac:dyDescent="0.2">
      <c r="B91" s="12">
        <v>43</v>
      </c>
      <c r="C91" s="44" t="s">
        <v>244</v>
      </c>
      <c r="D91" s="44">
        <v>862</v>
      </c>
      <c r="E91" s="46" t="s">
        <v>164</v>
      </c>
      <c r="F91" s="46" t="s">
        <v>231</v>
      </c>
      <c r="G91" s="47" t="s">
        <v>285</v>
      </c>
      <c r="H91" s="19" t="s">
        <v>355</v>
      </c>
      <c r="I91" s="18">
        <f>VLOOKUP(F91,Sheet1!E:F,2,FALSE)</f>
        <v>-30.573163000000001</v>
      </c>
      <c r="J91" s="18">
        <f>VLOOKUP(F91,Sheet1!E:G,3,FALSE)</f>
        <v>29.8821289999999</v>
      </c>
    </row>
    <row r="92" spans="2:10" x14ac:dyDescent="0.2">
      <c r="B92" s="12">
        <v>44</v>
      </c>
      <c r="C92" s="44" t="s">
        <v>244</v>
      </c>
      <c r="D92" s="44">
        <v>853</v>
      </c>
      <c r="E92" s="46" t="s">
        <v>169</v>
      </c>
      <c r="F92" s="46" t="s">
        <v>236</v>
      </c>
      <c r="G92" s="47" t="s">
        <v>287</v>
      </c>
      <c r="H92" s="19" t="s">
        <v>355</v>
      </c>
      <c r="I92" s="18">
        <f>VLOOKUP(F92,Sheet1!E:F,2,FALSE)</f>
        <v>-28.300993999999999</v>
      </c>
      <c r="J92" s="18">
        <f>VLOOKUP(F92,Sheet1!E:G,3,FALSE)</f>
        <v>31.422671000000001</v>
      </c>
    </row>
    <row r="93" spans="2:10" x14ac:dyDescent="0.2">
      <c r="B93" s="12">
        <v>45</v>
      </c>
      <c r="C93" s="44" t="s">
        <v>244</v>
      </c>
      <c r="D93" s="44">
        <v>851</v>
      </c>
      <c r="E93" s="46" t="s">
        <v>170</v>
      </c>
      <c r="F93" s="46" t="s">
        <v>237</v>
      </c>
      <c r="G93" s="47" t="s">
        <v>288</v>
      </c>
      <c r="H93" s="19" t="s">
        <v>355</v>
      </c>
      <c r="I93" s="18">
        <f>VLOOKUP(F93,Sheet1!E:F,2,FALSE)</f>
        <v>-29.961182999999899</v>
      </c>
      <c r="J93" s="18">
        <f>VLOOKUP(F93,Sheet1!E:G,3,FALSE)</f>
        <v>30.896604</v>
      </c>
    </row>
    <row r="94" spans="2:10" x14ac:dyDescent="0.2">
      <c r="B94" s="12">
        <v>46</v>
      </c>
      <c r="C94" s="44" t="s">
        <v>244</v>
      </c>
      <c r="D94" s="44">
        <v>860</v>
      </c>
      <c r="E94" s="46" t="s">
        <v>171</v>
      </c>
      <c r="F94" s="46" t="s">
        <v>238</v>
      </c>
      <c r="G94" s="47" t="s">
        <v>289</v>
      </c>
      <c r="H94" s="19" t="s">
        <v>355</v>
      </c>
      <c r="I94" s="18">
        <f>VLOOKUP(F94,Sheet1!E:F,2,FALSE)</f>
        <v>-30.260076899999898</v>
      </c>
      <c r="J94" s="18">
        <f>VLOOKUP(F94,Sheet1!E:G,3,FALSE)</f>
        <v>29.9414692</v>
      </c>
    </row>
    <row r="95" spans="2:10" x14ac:dyDescent="0.2">
      <c r="B95" s="12">
        <v>47</v>
      </c>
      <c r="C95" s="44" t="s">
        <v>244</v>
      </c>
      <c r="D95" s="44">
        <v>857</v>
      </c>
      <c r="E95" s="46" t="s">
        <v>172</v>
      </c>
      <c r="F95" s="46" t="s">
        <v>239</v>
      </c>
      <c r="G95" s="47" t="s">
        <v>290</v>
      </c>
      <c r="H95" s="19" t="s">
        <v>355</v>
      </c>
      <c r="I95" s="18">
        <f>VLOOKUP(F95,Sheet1!E:F,2,FALSE)</f>
        <v>-30.304742999999998</v>
      </c>
      <c r="J95" s="18">
        <f>VLOOKUP(F95,Sheet1!E:G,3,FALSE)</f>
        <v>30.665903999999902</v>
      </c>
    </row>
    <row r="96" spans="2:10" x14ac:dyDescent="0.2">
      <c r="B96" s="12">
        <v>48</v>
      </c>
      <c r="C96" s="44" t="s">
        <v>244</v>
      </c>
      <c r="D96" s="44">
        <v>855</v>
      </c>
      <c r="E96" s="46" t="s">
        <v>165</v>
      </c>
      <c r="F96" s="46" t="s">
        <v>232</v>
      </c>
      <c r="G96" s="47" t="s">
        <v>254</v>
      </c>
      <c r="H96" s="19" t="s">
        <v>355</v>
      </c>
      <c r="I96" s="18">
        <f>VLOOKUP(F96,Sheet1!E:F,2,FALSE)</f>
        <v>-30.552111</v>
      </c>
      <c r="J96" s="18">
        <f>VLOOKUP(F96,Sheet1!E:G,3,FALSE)</f>
        <v>29.427425999999901</v>
      </c>
    </row>
    <row r="97" spans="2:10" x14ac:dyDescent="0.2">
      <c r="B97" s="12">
        <v>49</v>
      </c>
      <c r="C97" s="44" t="s">
        <v>244</v>
      </c>
      <c r="D97" s="44">
        <v>854</v>
      </c>
      <c r="E97" s="46" t="s">
        <v>166</v>
      </c>
      <c r="F97" s="46" t="s">
        <v>233</v>
      </c>
      <c r="G97" s="47" t="s">
        <v>286</v>
      </c>
      <c r="H97" s="19" t="s">
        <v>355</v>
      </c>
      <c r="I97" s="18">
        <f>VLOOKUP(F97,Sheet1!E:F,2,FALSE)</f>
        <v>-28.415659999999999</v>
      </c>
      <c r="J97" s="18">
        <f>VLOOKUP(F97,Sheet1!E:G,3,FALSE)</f>
        <v>32.187579899999903</v>
      </c>
    </row>
    <row r="98" spans="2:10" x14ac:dyDescent="0.2">
      <c r="B98" s="12">
        <v>50</v>
      </c>
      <c r="C98" s="44" t="s">
        <v>244</v>
      </c>
      <c r="D98" s="44">
        <v>875</v>
      </c>
      <c r="E98" s="46" t="s">
        <v>167</v>
      </c>
      <c r="F98" s="46" t="s">
        <v>234</v>
      </c>
      <c r="G98" s="47" t="s">
        <v>59</v>
      </c>
      <c r="H98" s="19" t="s">
        <v>355</v>
      </c>
      <c r="I98" s="18">
        <f>VLOOKUP(F98,Sheet1!E:F,2,FALSE)</f>
        <v>-28.622270400000001</v>
      </c>
      <c r="J98" s="18">
        <f>VLOOKUP(F98,Sheet1!E:G,3,FALSE)</f>
        <v>31.091720500000001</v>
      </c>
    </row>
    <row r="99" spans="2:10" x14ac:dyDescent="0.2">
      <c r="B99" s="12">
        <v>51</v>
      </c>
      <c r="C99" s="44" t="s">
        <v>244</v>
      </c>
      <c r="D99" s="94"/>
      <c r="E99" s="46" t="s">
        <v>168</v>
      </c>
      <c r="F99" s="46" t="s">
        <v>235</v>
      </c>
      <c r="G99" s="47" t="s">
        <v>281</v>
      </c>
      <c r="H99" s="19" t="s">
        <v>355</v>
      </c>
      <c r="I99" s="18">
        <f>VLOOKUP(F99,Sheet1!E:F,2,FALSE)</f>
        <v>-29.595459999999999</v>
      </c>
      <c r="J99" s="18">
        <f>VLOOKUP(F99,Sheet1!E:G,3,FALSE)</f>
        <v>30.384649999999901</v>
      </c>
    </row>
    <row r="100" spans="2:10" x14ac:dyDescent="0.2">
      <c r="B100" s="12">
        <v>52</v>
      </c>
      <c r="C100" s="43" t="s">
        <v>243</v>
      </c>
      <c r="D100" s="44">
        <v>10223</v>
      </c>
      <c r="E100" s="39" t="s">
        <v>6</v>
      </c>
      <c r="F100" s="40" t="s">
        <v>7</v>
      </c>
      <c r="G100" s="41" t="s">
        <v>44</v>
      </c>
      <c r="H100" s="19" t="s">
        <v>355</v>
      </c>
      <c r="I100" s="18" t="e">
        <f>VLOOKUP(F100,Sheet1!E:F,2,FALSE)</f>
        <v>#N/A</v>
      </c>
      <c r="J100" s="18" t="e">
        <f>VLOOKUP(F100,Sheet1!E:G,3,FALSE)</f>
        <v>#N/A</v>
      </c>
    </row>
    <row r="101" spans="2:10" x14ac:dyDescent="0.2">
      <c r="B101" s="12">
        <v>53</v>
      </c>
      <c r="C101" s="44" t="s">
        <v>243</v>
      </c>
      <c r="D101" s="44">
        <v>10224</v>
      </c>
      <c r="E101" s="48" t="s">
        <v>9</v>
      </c>
      <c r="F101" s="46" t="s">
        <v>122</v>
      </c>
      <c r="G101" s="47" t="s">
        <v>41</v>
      </c>
      <c r="H101" s="19" t="s">
        <v>355</v>
      </c>
      <c r="I101" s="18">
        <f>VLOOKUP(F101,Sheet1!E:F,2,FALSE)</f>
        <v>-32.202998000000001</v>
      </c>
      <c r="J101" s="18">
        <f>VLOOKUP(F101,Sheet1!E:G,3,FALSE)</f>
        <v>27.936796000000001</v>
      </c>
    </row>
    <row r="102" spans="2:10" x14ac:dyDescent="0.2">
      <c r="B102" s="12">
        <v>54</v>
      </c>
      <c r="C102" s="43" t="s">
        <v>244</v>
      </c>
      <c r="D102" s="44">
        <v>10225</v>
      </c>
      <c r="E102" s="42" t="s">
        <v>27</v>
      </c>
      <c r="F102" s="49" t="s">
        <v>13</v>
      </c>
      <c r="G102" s="41" t="s">
        <v>44</v>
      </c>
      <c r="H102" s="19" t="s">
        <v>355</v>
      </c>
      <c r="I102" s="18" t="e">
        <f>VLOOKUP(F102,Sheet1!E:F,2,FALSE)</f>
        <v>#N/A</v>
      </c>
      <c r="J102" s="18" t="e">
        <f>VLOOKUP(F102,Sheet1!E:G,3,FALSE)</f>
        <v>#N/A</v>
      </c>
    </row>
    <row r="103" spans="2:10" x14ac:dyDescent="0.2">
      <c r="B103" s="12">
        <v>55</v>
      </c>
      <c r="C103" s="43" t="s">
        <v>244</v>
      </c>
      <c r="D103" s="94"/>
      <c r="E103" s="39" t="s">
        <v>30</v>
      </c>
      <c r="F103" s="50" t="s">
        <v>25</v>
      </c>
      <c r="G103" s="41" t="s">
        <v>44</v>
      </c>
      <c r="H103" s="19" t="s">
        <v>355</v>
      </c>
      <c r="I103" s="18" t="e">
        <f>VLOOKUP(F103,Sheet1!E:F,2,FALSE)</f>
        <v>#N/A</v>
      </c>
      <c r="J103" s="18" t="e">
        <f>VLOOKUP(F103,Sheet1!E:G,3,FALSE)</f>
        <v>#N/A</v>
      </c>
    </row>
    <row r="104" spans="2:10" x14ac:dyDescent="0.2">
      <c r="B104" s="12">
        <v>56</v>
      </c>
      <c r="C104" s="43" t="s">
        <v>244</v>
      </c>
      <c r="D104" s="94"/>
      <c r="E104" s="42" t="s">
        <v>29</v>
      </c>
      <c r="F104" s="49" t="s">
        <v>14</v>
      </c>
      <c r="G104" s="41" t="s">
        <v>44</v>
      </c>
      <c r="H104" s="19" t="s">
        <v>355</v>
      </c>
      <c r="I104" s="18" t="e">
        <f>VLOOKUP(F104,Sheet1!E:F,2,FALSE)</f>
        <v>#N/A</v>
      </c>
      <c r="J104" s="18" t="e">
        <f>VLOOKUP(F104,Sheet1!E:G,3,FALSE)</f>
        <v>#N/A</v>
      </c>
    </row>
    <row r="105" spans="2:10" x14ac:dyDescent="0.2">
      <c r="B105" s="12">
        <v>57</v>
      </c>
      <c r="C105" s="43" t="s">
        <v>244</v>
      </c>
      <c r="D105" s="94"/>
      <c r="E105" s="39" t="s">
        <v>28</v>
      </c>
      <c r="F105" s="40" t="s">
        <v>26</v>
      </c>
      <c r="G105" s="41" t="s">
        <v>44</v>
      </c>
      <c r="H105" s="19" t="s">
        <v>355</v>
      </c>
      <c r="I105" s="18" t="e">
        <f>VLOOKUP(F105,Sheet1!E:F,2,FALSE)</f>
        <v>#N/A</v>
      </c>
      <c r="J105" s="18" t="e">
        <f>VLOOKUP(F105,Sheet1!E:G,3,FALSE)</f>
        <v>#N/A</v>
      </c>
    </row>
    <row r="106" spans="2:10" x14ac:dyDescent="0.2">
      <c r="B106" s="12">
        <v>58</v>
      </c>
      <c r="C106" s="43" t="s">
        <v>244</v>
      </c>
      <c r="D106" s="94"/>
      <c r="E106" s="39" t="s">
        <v>33</v>
      </c>
      <c r="F106" s="40" t="s">
        <v>10</v>
      </c>
      <c r="G106" s="41" t="s">
        <v>44</v>
      </c>
      <c r="H106" s="19" t="s">
        <v>355</v>
      </c>
      <c r="I106" s="18" t="e">
        <f>VLOOKUP(F106,Sheet1!E:F,2,FALSE)</f>
        <v>#N/A</v>
      </c>
      <c r="J106" s="18" t="e">
        <f>VLOOKUP(F106,Sheet1!E:G,3,FALSE)</f>
        <v>#N/A</v>
      </c>
    </row>
    <row r="107" spans="2:10" x14ac:dyDescent="0.2">
      <c r="B107" s="12">
        <v>59</v>
      </c>
      <c r="C107" s="43" t="s">
        <v>244</v>
      </c>
      <c r="D107" s="42">
        <v>801</v>
      </c>
      <c r="E107" s="40" t="s">
        <v>508</v>
      </c>
      <c r="F107" s="41" t="s">
        <v>240</v>
      </c>
      <c r="G107" s="43" t="s">
        <v>516</v>
      </c>
      <c r="H107" s="19" t="s">
        <v>355</v>
      </c>
      <c r="I107" s="18">
        <f>VLOOKUP(F107,Sheet1!E:F,2,FALSE)</f>
        <v>-34.049518499999998</v>
      </c>
      <c r="J107" s="18">
        <f>VLOOKUP(F107,Sheet1!E:G,3,FALSE)</f>
        <v>18.621273800000001</v>
      </c>
    </row>
    <row r="108" spans="2:10" x14ac:dyDescent="0.2">
      <c r="B108" s="12">
        <v>60</v>
      </c>
      <c r="C108" s="43" t="s">
        <v>244</v>
      </c>
      <c r="D108" s="43">
        <v>10018</v>
      </c>
      <c r="E108" s="39" t="s">
        <v>503</v>
      </c>
      <c r="F108" s="40" t="s">
        <v>509</v>
      </c>
      <c r="G108" s="43" t="s">
        <v>516</v>
      </c>
      <c r="H108" s="19" t="s">
        <v>355</v>
      </c>
      <c r="I108" s="18" t="e">
        <f>VLOOKUP(F108,Sheet1!E:F,2,FALSE)</f>
        <v>#N/A</v>
      </c>
      <c r="J108" s="18" t="e">
        <f>VLOOKUP(F108,Sheet1!E:G,3,FALSE)</f>
        <v>#N/A</v>
      </c>
    </row>
    <row r="109" spans="2:10" x14ac:dyDescent="0.2">
      <c r="B109" s="12">
        <v>61</v>
      </c>
      <c r="C109" s="43" t="s">
        <v>244</v>
      </c>
      <c r="D109" s="43">
        <v>10019</v>
      </c>
      <c r="E109" s="43" t="s">
        <v>504</v>
      </c>
      <c r="F109" s="43" t="s">
        <v>510</v>
      </c>
      <c r="G109" s="43" t="s">
        <v>516</v>
      </c>
      <c r="H109" s="19" t="s">
        <v>355</v>
      </c>
      <c r="I109" s="18" t="e">
        <f>VLOOKUP(F109,Sheet1!E:F,2,FALSE)</f>
        <v>#N/A</v>
      </c>
      <c r="J109" s="18" t="e">
        <f>VLOOKUP(F109,Sheet1!E:G,3,FALSE)</f>
        <v>#N/A</v>
      </c>
    </row>
    <row r="110" spans="2:10" x14ac:dyDescent="0.2">
      <c r="B110" s="12">
        <v>62</v>
      </c>
      <c r="C110" s="43" t="s">
        <v>244</v>
      </c>
      <c r="D110" s="43">
        <v>10020</v>
      </c>
      <c r="E110" s="39" t="s">
        <v>452</v>
      </c>
      <c r="F110" s="40" t="s">
        <v>511</v>
      </c>
      <c r="G110" s="43" t="s">
        <v>516</v>
      </c>
      <c r="H110" s="19" t="s">
        <v>355</v>
      </c>
      <c r="I110" s="18" t="e">
        <f>VLOOKUP(F110,Sheet1!E:F,2,FALSE)</f>
        <v>#N/A</v>
      </c>
      <c r="J110" s="18" t="e">
        <f>VLOOKUP(F110,Sheet1!E:G,3,FALSE)</f>
        <v>#N/A</v>
      </c>
    </row>
    <row r="111" spans="2:10" x14ac:dyDescent="0.2">
      <c r="B111" s="12">
        <v>63</v>
      </c>
      <c r="C111" s="43"/>
      <c r="D111" s="42">
        <v>10021</v>
      </c>
      <c r="E111" s="40" t="s">
        <v>505</v>
      </c>
      <c r="F111" s="41" t="s">
        <v>512</v>
      </c>
      <c r="G111" s="43" t="s">
        <v>516</v>
      </c>
      <c r="H111" s="19" t="s">
        <v>355</v>
      </c>
      <c r="I111" s="18" t="e">
        <f>VLOOKUP(F111,Sheet1!E:F,2,FALSE)</f>
        <v>#N/A</v>
      </c>
      <c r="J111" s="18" t="e">
        <f>VLOOKUP(F111,Sheet1!E:G,3,FALSE)</f>
        <v>#N/A</v>
      </c>
    </row>
    <row r="112" spans="2:10" x14ac:dyDescent="0.2">
      <c r="B112" s="12">
        <v>64</v>
      </c>
      <c r="C112" s="43"/>
      <c r="D112" s="43">
        <v>10022</v>
      </c>
      <c r="E112" s="43" t="s">
        <v>506</v>
      </c>
      <c r="F112" s="43" t="s">
        <v>513</v>
      </c>
      <c r="G112" s="43" t="s">
        <v>516</v>
      </c>
      <c r="H112" s="19" t="s">
        <v>355</v>
      </c>
      <c r="I112" s="18" t="e">
        <f>VLOOKUP(F112,Sheet1!E:F,2,FALSE)</f>
        <v>#N/A</v>
      </c>
      <c r="J112" s="18" t="e">
        <f>VLOOKUP(F112,Sheet1!E:G,3,FALSE)</f>
        <v>#N/A</v>
      </c>
    </row>
    <row r="113" spans="2:10" x14ac:dyDescent="0.2">
      <c r="B113" s="12">
        <v>65</v>
      </c>
      <c r="C113" s="43"/>
      <c r="D113" s="43">
        <v>10025</v>
      </c>
      <c r="E113" s="43" t="s">
        <v>507</v>
      </c>
      <c r="F113" s="43" t="s">
        <v>347</v>
      </c>
      <c r="G113" s="43" t="s">
        <v>44</v>
      </c>
      <c r="H113" s="19" t="s">
        <v>355</v>
      </c>
      <c r="I113" s="18">
        <f>VLOOKUP(F113,Sheet1!E:F,2,FALSE)</f>
        <v>-33.930756000000002</v>
      </c>
      <c r="J113" s="18">
        <f>VLOOKUP(F113,Sheet1!E:G,3,FALSE)</f>
        <v>25.603551</v>
      </c>
    </row>
    <row r="114" spans="2:10" x14ac:dyDescent="0.2">
      <c r="B114" s="12">
        <v>66</v>
      </c>
      <c r="C114" s="43"/>
      <c r="D114" s="43">
        <v>10220</v>
      </c>
      <c r="E114" s="43" t="s">
        <v>123</v>
      </c>
      <c r="F114" s="43" t="s">
        <v>514</v>
      </c>
      <c r="G114" s="43" t="s">
        <v>44</v>
      </c>
      <c r="H114" s="19" t="s">
        <v>355</v>
      </c>
      <c r="I114" s="18" t="e">
        <f>VLOOKUP(F114,Sheet1!E:F,2,FALSE)</f>
        <v>#N/A</v>
      </c>
      <c r="J114" s="18" t="e">
        <f>VLOOKUP(F114,Sheet1!E:G,3,FALSE)</f>
        <v>#N/A</v>
      </c>
    </row>
    <row r="115" spans="2:10" x14ac:dyDescent="0.2">
      <c r="G115" s="20"/>
      <c r="H115" s="20"/>
      <c r="I115" s="20"/>
      <c r="J115" s="20"/>
    </row>
    <row r="116" spans="2:10" x14ac:dyDescent="0.2">
      <c r="G116" s="20"/>
      <c r="H116" s="20"/>
      <c r="I116" s="20"/>
      <c r="J116" s="20"/>
    </row>
    <row r="117" spans="2:10" x14ac:dyDescent="0.2">
      <c r="G117" s="20"/>
      <c r="H117" s="20"/>
      <c r="I117" s="20"/>
      <c r="J117" s="20"/>
    </row>
    <row r="118" spans="2:10" x14ac:dyDescent="0.2">
      <c r="G118" s="20"/>
      <c r="H118" s="20"/>
      <c r="I118" s="20"/>
      <c r="J118" s="20"/>
    </row>
    <row r="119" spans="2:10" x14ac:dyDescent="0.2">
      <c r="G119" s="20"/>
      <c r="H119" s="20"/>
      <c r="I119" s="20"/>
      <c r="J119" s="20"/>
    </row>
    <row r="120" spans="2:10" x14ac:dyDescent="0.2">
      <c r="G120" s="20"/>
      <c r="H120" s="20"/>
      <c r="I120" s="20"/>
      <c r="J120" s="20"/>
    </row>
    <row r="121" spans="2:10" x14ac:dyDescent="0.2">
      <c r="G121" s="20"/>
      <c r="H121" s="20"/>
      <c r="I121" s="20"/>
      <c r="J121" s="20"/>
    </row>
    <row r="122" spans="2:10" x14ac:dyDescent="0.2">
      <c r="G122" s="20"/>
      <c r="H122" s="20"/>
      <c r="I122" s="20"/>
      <c r="J122" s="20"/>
    </row>
    <row r="123" spans="2:10" x14ac:dyDescent="0.2">
      <c r="G123" s="20"/>
      <c r="H123" s="20"/>
      <c r="I123" s="20"/>
      <c r="J123" s="20"/>
    </row>
    <row r="124" spans="2:10" x14ac:dyDescent="0.2">
      <c r="G124" s="20"/>
      <c r="H124" s="20"/>
      <c r="I124" s="20"/>
      <c r="J124" s="20"/>
    </row>
    <row r="125" spans="2:10" x14ac:dyDescent="0.2">
      <c r="G125" s="20"/>
      <c r="H125" s="20"/>
      <c r="I125" s="20"/>
      <c r="J125" s="20"/>
    </row>
    <row r="126" spans="2:10" x14ac:dyDescent="0.2">
      <c r="G126" s="20"/>
      <c r="H126" s="20"/>
      <c r="I126" s="20"/>
      <c r="J126" s="20"/>
    </row>
    <row r="127" spans="2:10" x14ac:dyDescent="0.2">
      <c r="G127" s="20"/>
      <c r="H127" s="20"/>
      <c r="I127" s="20"/>
      <c r="J127" s="20"/>
    </row>
    <row r="128" spans="2:10" x14ac:dyDescent="0.2">
      <c r="G128" s="20"/>
      <c r="H128" s="20"/>
      <c r="I128" s="20"/>
      <c r="J128" s="20"/>
    </row>
    <row r="129" spans="6:10" x14ac:dyDescent="0.2">
      <c r="G129" s="20"/>
      <c r="H129" s="20"/>
      <c r="I129" s="20"/>
      <c r="J129" s="20"/>
    </row>
    <row r="130" spans="6:10" x14ac:dyDescent="0.2">
      <c r="G130" s="20"/>
      <c r="H130" s="20"/>
      <c r="I130" s="20"/>
      <c r="J130" s="20"/>
    </row>
    <row r="131" spans="6:10" x14ac:dyDescent="0.2">
      <c r="G131" s="20"/>
      <c r="H131" s="20"/>
      <c r="I131" s="20"/>
      <c r="J131" s="20"/>
    </row>
    <row r="132" spans="6:10" x14ac:dyDescent="0.2">
      <c r="G132" s="20"/>
      <c r="H132" s="20"/>
      <c r="I132" s="20"/>
      <c r="J132" s="20"/>
    </row>
    <row r="133" spans="6:10" x14ac:dyDescent="0.2">
      <c r="F133" s="1"/>
      <c r="G133" s="20"/>
      <c r="H133" s="20"/>
      <c r="I133" s="20"/>
      <c r="J133" s="20"/>
    </row>
    <row r="134" spans="6:10" x14ac:dyDescent="0.2">
      <c r="F134" s="1"/>
      <c r="G134" s="20"/>
      <c r="H134" s="20"/>
      <c r="I134" s="20"/>
      <c r="J134" s="20"/>
    </row>
    <row r="135" spans="6:10" x14ac:dyDescent="0.2">
      <c r="F135" s="1"/>
      <c r="G135" s="20"/>
      <c r="H135" s="20"/>
      <c r="I135" s="20"/>
      <c r="J135" s="20"/>
    </row>
    <row r="136" spans="6:10" x14ac:dyDescent="0.2">
      <c r="F136" s="1"/>
      <c r="G136" s="20"/>
      <c r="H136" s="20"/>
      <c r="I136" s="20"/>
      <c r="J136" s="20"/>
    </row>
    <row r="137" spans="6:10" x14ac:dyDescent="0.2">
      <c r="F137" s="1"/>
      <c r="G137" s="20"/>
      <c r="H137" s="20"/>
      <c r="I137" s="20"/>
      <c r="J137" s="20"/>
    </row>
  </sheetData>
  <autoFilter ref="D1:D137">
    <filterColumn colId="0">
      <filters blank="1"/>
    </filterColumn>
  </autoFilter>
  <mergeCells count="7">
    <mergeCell ref="B2:G2"/>
    <mergeCell ref="B5:G5"/>
    <mergeCell ref="B61:F61"/>
    <mergeCell ref="B59:G59"/>
    <mergeCell ref="B60:G60"/>
    <mergeCell ref="B44:G44"/>
    <mergeCell ref="B45:G45"/>
  </mergeCells>
  <conditionalFormatting sqref="F108 F110 F62:F106">
    <cfRule type="duplicateValues" dxfId="45" priority="45"/>
  </conditionalFormatting>
  <conditionalFormatting sqref="C107">
    <cfRule type="duplicateValues" dxfId="44" priority="20"/>
  </conditionalFormatting>
  <conditionalFormatting sqref="E107">
    <cfRule type="duplicateValues" dxfId="43" priority="22"/>
  </conditionalFormatting>
  <conditionalFormatting sqref="E109:F109">
    <cfRule type="duplicateValues" dxfId="42" priority="19"/>
  </conditionalFormatting>
  <conditionalFormatting sqref="F188:F195 F151:F161 F168:F180 F133:F149 F126:F128 F115:F120">
    <cfRule type="duplicateValues" dxfId="41" priority="98"/>
  </conditionalFormatting>
  <conditionalFormatting sqref="E108 E1:E106 E188:E195 E202:E1048576 E151:E161 E168:E180 E133:E149 E126:E128 E110 E115:E120">
    <cfRule type="duplicateValues" dxfId="40" priority="106"/>
  </conditionalFormatting>
  <conditionalFormatting sqref="F188:F195 F202:F1048576 F151:F161 F168:F180 F133:F149 F126:F128 F1:F110 F115:F120">
    <cfRule type="duplicateValues" dxfId="39" priority="117"/>
  </conditionalFormatting>
  <conditionalFormatting sqref="D188:D195 D202:D1048576 D151:D161 D168:D180 D133:D149 D126:D128 D1:D110 D115:D120">
    <cfRule type="duplicateValues" dxfId="38" priority="126"/>
  </conditionalFormatting>
  <conditionalFormatting sqref="E111">
    <cfRule type="duplicateValues" dxfId="37" priority="12"/>
  </conditionalFormatting>
  <conditionalFormatting sqref="D111">
    <cfRule type="duplicateValues" dxfId="36" priority="13"/>
  </conditionalFormatting>
  <conditionalFormatting sqref="E111">
    <cfRule type="duplicateValues" dxfId="35" priority="14"/>
  </conditionalFormatting>
  <conditionalFormatting sqref="C111">
    <cfRule type="duplicateValues" dxfId="34" priority="15"/>
  </conditionalFormatting>
  <conditionalFormatting sqref="D112:E112">
    <cfRule type="duplicateValues" dxfId="33" priority="9"/>
  </conditionalFormatting>
  <conditionalFormatting sqref="F112">
    <cfRule type="duplicateValues" dxfId="32" priority="8"/>
  </conditionalFormatting>
  <conditionalFormatting sqref="E112">
    <cfRule type="duplicateValues" dxfId="31" priority="10"/>
  </conditionalFormatting>
  <conditionalFormatting sqref="C112">
    <cfRule type="duplicateValues" dxfId="30" priority="11"/>
  </conditionalFormatting>
  <conditionalFormatting sqref="C113:D113">
    <cfRule type="duplicateValues" dxfId="29" priority="6"/>
  </conditionalFormatting>
  <conditionalFormatting sqref="E113:F113">
    <cfRule type="duplicateValues" dxfId="28" priority="5"/>
  </conditionalFormatting>
  <conditionalFormatting sqref="D113">
    <cfRule type="duplicateValues" dxfId="27" priority="7"/>
  </conditionalFormatting>
  <conditionalFormatting sqref="C114">
    <cfRule type="duplicateValues" dxfId="26" priority="3"/>
  </conditionalFormatting>
  <conditionalFormatting sqref="D114:F114">
    <cfRule type="duplicateValues" dxfId="25" priority="2"/>
  </conditionalFormatting>
  <conditionalFormatting sqref="C114">
    <cfRule type="duplicateValues" dxfId="24" priority="4"/>
  </conditionalFormatting>
  <conditionalFormatting sqref="D1:D1048576">
    <cfRule type="duplicateValues" dxfId="0" priority="1"/>
  </conditionalFormatting>
  <printOptions horizontalCentered="1"/>
  <pageMargins left="0.19685039370078741" right="0.19685039370078741" top="0.15748031496062992" bottom="0.59055118110236227" header="0.15748031496062992" footer="0.55118110236220474"/>
  <pageSetup paperSize="8" fitToHeight="0" orientation="landscape" r:id="rId1"/>
  <ignoredErrors>
    <ignoredError sqref="D11 D15 D12:D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20"/>
  <sheetViews>
    <sheetView workbookViewId="0">
      <selection activeCell="B5" sqref="B5"/>
    </sheetView>
  </sheetViews>
  <sheetFormatPr defaultRowHeight="12.75" x14ac:dyDescent="0.2"/>
  <cols>
    <col min="1" max="1" width="17.7109375" bestFit="1" customWidth="1"/>
    <col min="6" max="6" width="18.42578125" bestFit="1" customWidth="1"/>
  </cols>
  <sheetData>
    <row r="2" spans="1:2" x14ac:dyDescent="0.2">
      <c r="A2" s="36" t="s">
        <v>351</v>
      </c>
      <c r="B2" s="36"/>
    </row>
    <row r="3" spans="1:2" x14ac:dyDescent="0.2">
      <c r="A3" s="25" t="s">
        <v>356</v>
      </c>
      <c r="B3" s="25">
        <v>21</v>
      </c>
    </row>
    <row r="4" spans="1:2" x14ac:dyDescent="0.2">
      <c r="A4" s="25" t="s">
        <v>357</v>
      </c>
      <c r="B4" s="25">
        <v>8</v>
      </c>
    </row>
    <row r="5" spans="1:2" x14ac:dyDescent="0.2">
      <c r="A5" s="25" t="s">
        <v>359</v>
      </c>
      <c r="B5" s="25">
        <v>16</v>
      </c>
    </row>
    <row r="6" spans="1:2" x14ac:dyDescent="0.2">
      <c r="A6" s="25" t="s">
        <v>358</v>
      </c>
      <c r="B6" s="25">
        <f>SUM(B7:B8)</f>
        <v>34</v>
      </c>
    </row>
    <row r="7" spans="1:2" x14ac:dyDescent="0.2">
      <c r="A7" s="31" t="s">
        <v>360</v>
      </c>
      <c r="B7" s="31">
        <v>18</v>
      </c>
    </row>
    <row r="8" spans="1:2" x14ac:dyDescent="0.2">
      <c r="A8" s="31" t="s">
        <v>349</v>
      </c>
      <c r="B8" s="25">
        <v>16</v>
      </c>
    </row>
    <row r="10" spans="1:2" x14ac:dyDescent="0.2">
      <c r="A10" s="33" t="s">
        <v>352</v>
      </c>
      <c r="B10" s="33">
        <v>56</v>
      </c>
    </row>
    <row r="11" spans="1:2" x14ac:dyDescent="0.2">
      <c r="A11" s="25" t="s">
        <v>349</v>
      </c>
      <c r="B11" s="25">
        <v>29</v>
      </c>
    </row>
    <row r="12" spans="1:2" x14ac:dyDescent="0.2">
      <c r="A12" s="25" t="s">
        <v>350</v>
      </c>
      <c r="B12" s="25">
        <v>16</v>
      </c>
    </row>
    <row r="13" spans="1:2" x14ac:dyDescent="0.2">
      <c r="A13" s="31" t="s">
        <v>353</v>
      </c>
      <c r="B13" s="25">
        <v>11</v>
      </c>
    </row>
    <row r="14" spans="1:2" x14ac:dyDescent="0.2">
      <c r="A14" s="31" t="s">
        <v>357</v>
      </c>
      <c r="B14" s="31">
        <v>9</v>
      </c>
    </row>
    <row r="16" spans="1:2" x14ac:dyDescent="0.2">
      <c r="A16" s="32" t="s">
        <v>354</v>
      </c>
      <c r="B16" s="32">
        <v>8</v>
      </c>
    </row>
    <row r="17" spans="1:2" x14ac:dyDescent="0.2">
      <c r="A17" s="25" t="s">
        <v>349</v>
      </c>
      <c r="B17" s="25">
        <v>7</v>
      </c>
    </row>
    <row r="18" spans="1:2" x14ac:dyDescent="0.2">
      <c r="A18" s="25" t="s">
        <v>350</v>
      </c>
      <c r="B18" s="25">
        <v>1</v>
      </c>
    </row>
    <row r="19" spans="1:2" x14ac:dyDescent="0.2">
      <c r="A19" s="31" t="s">
        <v>353</v>
      </c>
      <c r="B19" s="25">
        <v>0</v>
      </c>
    </row>
    <row r="20" spans="1:2" x14ac:dyDescent="0.2">
      <c r="A20" s="31" t="s">
        <v>357</v>
      </c>
      <c r="B20" s="31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sqref="A1:D1"/>
    </sheetView>
  </sheetViews>
  <sheetFormatPr defaultRowHeight="12.75" x14ac:dyDescent="0.2"/>
  <cols>
    <col min="1" max="1" width="14.85546875" bestFit="1" customWidth="1"/>
    <col min="2" max="3" width="11.5703125" bestFit="1" customWidth="1"/>
    <col min="4" max="4" width="14.85546875" bestFit="1" customWidth="1"/>
    <col min="6" max="6" width="10.28515625" bestFit="1" customWidth="1"/>
  </cols>
  <sheetData>
    <row r="1" spans="1:6" x14ac:dyDescent="0.2">
      <c r="A1" s="103" t="s">
        <v>47</v>
      </c>
      <c r="B1" s="103"/>
      <c r="C1" s="103"/>
      <c r="D1" s="103"/>
    </row>
    <row r="2" spans="1:6" x14ac:dyDescent="0.2">
      <c r="A2" s="25" t="s">
        <v>291</v>
      </c>
      <c r="B2" s="25" t="s">
        <v>292</v>
      </c>
      <c r="C2" s="25" t="s">
        <v>293</v>
      </c>
      <c r="D2" s="25" t="s">
        <v>294</v>
      </c>
      <c r="F2" s="25" t="s">
        <v>295</v>
      </c>
    </row>
    <row r="3" spans="1:6" x14ac:dyDescent="0.2">
      <c r="A3" s="25">
        <v>27</v>
      </c>
      <c r="B3" s="25">
        <v>22</v>
      </c>
      <c r="C3" s="25">
        <v>21</v>
      </c>
      <c r="D3" s="25">
        <v>28</v>
      </c>
      <c r="F3" s="25">
        <f>SUM(A3:B3)</f>
        <v>49</v>
      </c>
    </row>
    <row r="6" spans="1:6" x14ac:dyDescent="0.2">
      <c r="A6" s="104" t="s">
        <v>59</v>
      </c>
      <c r="B6" s="104"/>
      <c r="C6" s="104"/>
      <c r="D6" s="104"/>
    </row>
    <row r="7" spans="1:6" x14ac:dyDescent="0.2">
      <c r="A7" s="25" t="s">
        <v>291</v>
      </c>
      <c r="B7" s="25" t="s">
        <v>292</v>
      </c>
      <c r="C7" s="25" t="s">
        <v>293</v>
      </c>
      <c r="D7" s="25" t="s">
        <v>294</v>
      </c>
      <c r="F7" s="25" t="s">
        <v>295</v>
      </c>
    </row>
    <row r="8" spans="1:6" x14ac:dyDescent="0.2">
      <c r="A8" s="25">
        <v>38</v>
      </c>
      <c r="B8" s="25">
        <v>53</v>
      </c>
      <c r="C8" s="25">
        <v>0</v>
      </c>
      <c r="D8" s="25">
        <v>91</v>
      </c>
      <c r="F8" s="25">
        <f>SUM(A8:B8)</f>
        <v>91</v>
      </c>
    </row>
    <row r="11" spans="1:6" x14ac:dyDescent="0.2">
      <c r="A11" s="105" t="s">
        <v>296</v>
      </c>
      <c r="B11" s="105"/>
      <c r="C11" s="105"/>
      <c r="D11" s="105"/>
    </row>
    <row r="12" spans="1:6" x14ac:dyDescent="0.2">
      <c r="A12" s="25" t="s">
        <v>291</v>
      </c>
      <c r="B12" s="25" t="s">
        <v>292</v>
      </c>
      <c r="C12" s="25" t="s">
        <v>293</v>
      </c>
      <c r="D12" s="25" t="s">
        <v>294</v>
      </c>
      <c r="F12" s="25" t="s">
        <v>295</v>
      </c>
    </row>
    <row r="13" spans="1:6" x14ac:dyDescent="0.2">
      <c r="A13" s="25">
        <v>3</v>
      </c>
      <c r="B13" s="25">
        <v>3</v>
      </c>
      <c r="C13" s="25">
        <v>0</v>
      </c>
      <c r="D13" s="25">
        <v>6</v>
      </c>
      <c r="F13" s="25">
        <f>SUM(A13:B13)</f>
        <v>6</v>
      </c>
    </row>
    <row r="16" spans="1:6" x14ac:dyDescent="0.2">
      <c r="A16" s="106" t="s">
        <v>60</v>
      </c>
      <c r="B16" s="106"/>
      <c r="C16" s="106"/>
      <c r="D16" s="106"/>
    </row>
    <row r="17" spans="1:6" x14ac:dyDescent="0.2">
      <c r="A17" s="25" t="s">
        <v>297</v>
      </c>
      <c r="B17" s="25" t="s">
        <v>293</v>
      </c>
      <c r="C17" s="25"/>
      <c r="D17" s="25"/>
      <c r="F17" s="25" t="s">
        <v>295</v>
      </c>
    </row>
    <row r="18" spans="1:6" x14ac:dyDescent="0.2">
      <c r="A18" s="25">
        <v>16</v>
      </c>
      <c r="B18" s="25">
        <v>16</v>
      </c>
      <c r="C18" s="25"/>
      <c r="D18" s="25"/>
      <c r="F18" s="25">
        <v>16</v>
      </c>
    </row>
  </sheetData>
  <mergeCells count="4">
    <mergeCell ref="A1:D1"/>
    <mergeCell ref="A6:D6"/>
    <mergeCell ref="A11:D11"/>
    <mergeCell ref="A16:D16"/>
  </mergeCells>
  <pageMargins left="0.7" right="0.7" top="0.75" bottom="0.75" header="0.3" footer="0.3"/>
  <pageSetup paperSize="9" orientation="portrait" r:id="rId1"/>
  <ignoredErrors>
    <ignoredError sqref="F3 F8 F13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2"/>
  <sheetViews>
    <sheetView zoomScale="70" zoomScaleNormal="70" workbookViewId="0">
      <selection activeCell="A111" sqref="A111:XFD122"/>
    </sheetView>
  </sheetViews>
  <sheetFormatPr defaultRowHeight="12.75" x14ac:dyDescent="0.2"/>
  <cols>
    <col min="1" max="1" width="15.28515625" bestFit="1" customWidth="1"/>
    <col min="2" max="2" width="18.28515625" bestFit="1" customWidth="1"/>
    <col min="3" max="3" width="13.5703125" bestFit="1" customWidth="1"/>
    <col min="4" max="4" width="52.7109375" bestFit="1" customWidth="1"/>
    <col min="5" max="5" width="91" bestFit="1" customWidth="1"/>
    <col min="6" max="6" width="8.28515625" bestFit="1" customWidth="1"/>
    <col min="7" max="7" width="8.7109375" bestFit="1" customWidth="1"/>
  </cols>
  <sheetData>
    <row r="1" spans="1:7" ht="45" x14ac:dyDescent="0.25">
      <c r="A1" s="70" t="s">
        <v>361</v>
      </c>
      <c r="B1" s="70" t="s">
        <v>362</v>
      </c>
      <c r="C1" s="70" t="s">
        <v>302</v>
      </c>
      <c r="D1" s="59" t="s">
        <v>363</v>
      </c>
      <c r="E1" s="59" t="s">
        <v>364</v>
      </c>
      <c r="F1" s="71" t="s">
        <v>365</v>
      </c>
      <c r="G1" s="71" t="s">
        <v>366</v>
      </c>
    </row>
    <row r="2" spans="1:7" ht="15" x14ac:dyDescent="0.25">
      <c r="A2" s="70" t="s">
        <v>350</v>
      </c>
      <c r="B2" s="70" t="s">
        <v>367</v>
      </c>
      <c r="C2" s="70"/>
      <c r="D2" s="70" t="s">
        <v>368</v>
      </c>
      <c r="E2" s="73" t="s">
        <v>240</v>
      </c>
      <c r="F2" s="72">
        <v>-34.049518499999998</v>
      </c>
      <c r="G2" s="72">
        <v>18.621273800000001</v>
      </c>
    </row>
    <row r="3" spans="1:7" ht="15" x14ac:dyDescent="0.25">
      <c r="A3" s="70" t="s">
        <v>350</v>
      </c>
      <c r="B3" s="70" t="s">
        <v>369</v>
      </c>
      <c r="C3" s="70"/>
      <c r="D3" s="70" t="s">
        <v>370</v>
      </c>
      <c r="E3" s="73" t="s">
        <v>212</v>
      </c>
      <c r="F3" s="71">
        <v>-29.984041000000001</v>
      </c>
      <c r="G3" s="71">
        <v>30.927952000000001</v>
      </c>
    </row>
    <row r="4" spans="1:7" ht="15" x14ac:dyDescent="0.25">
      <c r="A4" s="70" t="s">
        <v>350</v>
      </c>
      <c r="B4" s="70" t="s">
        <v>369</v>
      </c>
      <c r="C4" s="70"/>
      <c r="D4" s="74" t="s">
        <v>371</v>
      </c>
      <c r="E4" s="74" t="s">
        <v>213</v>
      </c>
      <c r="F4" s="71">
        <v>-29.858305999999999</v>
      </c>
      <c r="G4" s="71">
        <v>31.010259999999999</v>
      </c>
    </row>
    <row r="5" spans="1:7" ht="15" x14ac:dyDescent="0.25">
      <c r="A5" s="70" t="s">
        <v>350</v>
      </c>
      <c r="B5" s="70" t="s">
        <v>369</v>
      </c>
      <c r="C5" s="70"/>
      <c r="D5" s="74" t="s">
        <v>372</v>
      </c>
      <c r="E5" s="74" t="s">
        <v>214</v>
      </c>
      <c r="F5" s="71">
        <v>-29.855813000000001</v>
      </c>
      <c r="G5" s="71">
        <v>31.010553999999999</v>
      </c>
    </row>
    <row r="6" spans="1:7" ht="15" x14ac:dyDescent="0.25">
      <c r="A6" s="70" t="s">
        <v>350</v>
      </c>
      <c r="B6" s="70" t="s">
        <v>369</v>
      </c>
      <c r="C6" s="70"/>
      <c r="D6" s="74" t="s">
        <v>373</v>
      </c>
      <c r="E6" s="74" t="s">
        <v>215</v>
      </c>
      <c r="F6" s="71">
        <v>-29.844951999999999</v>
      </c>
      <c r="G6" s="71">
        <v>31.020572000000001</v>
      </c>
    </row>
    <row r="7" spans="1:7" ht="15" x14ac:dyDescent="0.25">
      <c r="A7" s="70" t="s">
        <v>350</v>
      </c>
      <c r="B7" s="70" t="s">
        <v>369</v>
      </c>
      <c r="C7" s="70"/>
      <c r="D7" s="74" t="s">
        <v>374</v>
      </c>
      <c r="E7" s="74" t="s">
        <v>216</v>
      </c>
      <c r="F7" s="71">
        <v>-29.814627999999999</v>
      </c>
      <c r="G7" s="71">
        <v>30.854551000000001</v>
      </c>
    </row>
    <row r="8" spans="1:7" ht="15" x14ac:dyDescent="0.25">
      <c r="A8" s="70" t="s">
        <v>350</v>
      </c>
      <c r="B8" s="70" t="s">
        <v>369</v>
      </c>
      <c r="C8" s="70"/>
      <c r="D8" s="73" t="s">
        <v>375</v>
      </c>
      <c r="E8" s="73" t="s">
        <v>217</v>
      </c>
      <c r="F8" s="72">
        <v>-29.808589999999999</v>
      </c>
      <c r="G8" s="72">
        <v>30.8432</v>
      </c>
    </row>
    <row r="9" spans="1:7" ht="15" x14ac:dyDescent="0.25">
      <c r="A9" s="70" t="s">
        <v>350</v>
      </c>
      <c r="B9" s="70" t="s">
        <v>369</v>
      </c>
      <c r="C9" s="70"/>
      <c r="D9" s="70" t="s">
        <v>376</v>
      </c>
      <c r="E9" s="73" t="s">
        <v>218</v>
      </c>
      <c r="F9" s="71">
        <v>-29.748888000000001</v>
      </c>
      <c r="G9" s="71">
        <v>30.973020999999999</v>
      </c>
    </row>
    <row r="10" spans="1:7" ht="15" x14ac:dyDescent="0.25">
      <c r="A10" s="70" t="s">
        <v>350</v>
      </c>
      <c r="B10" s="70" t="s">
        <v>369</v>
      </c>
      <c r="C10" s="70"/>
      <c r="D10" s="73" t="s">
        <v>377</v>
      </c>
      <c r="E10" s="73" t="s">
        <v>219</v>
      </c>
      <c r="F10" s="72">
        <v>-29.595459999999999</v>
      </c>
      <c r="G10" s="72">
        <v>30.384650000000001</v>
      </c>
    </row>
    <row r="11" spans="1:7" ht="15" x14ac:dyDescent="0.25">
      <c r="A11" s="70" t="s">
        <v>350</v>
      </c>
      <c r="B11" s="70" t="s">
        <v>378</v>
      </c>
      <c r="C11" s="70"/>
      <c r="D11" s="70" t="s">
        <v>149</v>
      </c>
      <c r="E11" s="73" t="s">
        <v>150</v>
      </c>
      <c r="F11" s="71">
        <v>-29.232036000000001</v>
      </c>
      <c r="G11" s="71">
        <v>26.707196</v>
      </c>
    </row>
    <row r="12" spans="1:7" ht="15" x14ac:dyDescent="0.25">
      <c r="A12" s="70" t="s">
        <v>350</v>
      </c>
      <c r="B12" s="70" t="s">
        <v>378</v>
      </c>
      <c r="C12" s="70"/>
      <c r="D12" s="70" t="s">
        <v>151</v>
      </c>
      <c r="E12" s="73" t="s">
        <v>152</v>
      </c>
      <c r="F12" s="71">
        <v>-29.216072</v>
      </c>
      <c r="G12" s="71">
        <v>26.839366999999999</v>
      </c>
    </row>
    <row r="13" spans="1:7" ht="15" x14ac:dyDescent="0.25">
      <c r="A13" s="70" t="s">
        <v>350</v>
      </c>
      <c r="B13" s="70" t="s">
        <v>378</v>
      </c>
      <c r="C13" s="70"/>
      <c r="D13" s="70" t="s">
        <v>153</v>
      </c>
      <c r="E13" s="73" t="s">
        <v>154</v>
      </c>
      <c r="F13" s="71">
        <v>-29.194139</v>
      </c>
      <c r="G13" s="71">
        <v>27.457598999999998</v>
      </c>
    </row>
    <row r="14" spans="1:7" ht="15" x14ac:dyDescent="0.25">
      <c r="A14" s="70" t="s">
        <v>350</v>
      </c>
      <c r="B14" s="70" t="s">
        <v>378</v>
      </c>
      <c r="C14" s="70"/>
      <c r="D14" s="70" t="s">
        <v>155</v>
      </c>
      <c r="E14" s="73" t="s">
        <v>156</v>
      </c>
      <c r="F14" s="71">
        <v>-29.161489899999999</v>
      </c>
      <c r="G14" s="71">
        <v>26.256682699999999</v>
      </c>
    </row>
    <row r="15" spans="1:7" ht="15" x14ac:dyDescent="0.25">
      <c r="A15" s="70" t="s">
        <v>350</v>
      </c>
      <c r="B15" s="70" t="s">
        <v>369</v>
      </c>
      <c r="C15" s="70"/>
      <c r="D15" s="74" t="s">
        <v>379</v>
      </c>
      <c r="E15" s="74" t="s">
        <v>220</v>
      </c>
      <c r="F15" s="72">
        <v>-28.751664000000002</v>
      </c>
      <c r="G15" s="71">
        <v>32.050373999999998</v>
      </c>
    </row>
    <row r="16" spans="1:7" ht="15" x14ac:dyDescent="0.25">
      <c r="A16" s="70" t="s">
        <v>350</v>
      </c>
      <c r="B16" s="70" t="s">
        <v>369</v>
      </c>
      <c r="C16" s="70"/>
      <c r="D16" s="73" t="s">
        <v>380</v>
      </c>
      <c r="E16" s="73" t="s">
        <v>221</v>
      </c>
      <c r="F16" s="72">
        <v>-28.744282999999999</v>
      </c>
      <c r="G16" s="72">
        <v>31.885482</v>
      </c>
    </row>
    <row r="17" spans="1:7" ht="15" x14ac:dyDescent="0.25">
      <c r="A17" s="70" t="s">
        <v>350</v>
      </c>
      <c r="B17" s="70" t="s">
        <v>369</v>
      </c>
      <c r="C17" s="70"/>
      <c r="D17" s="69" t="s">
        <v>381</v>
      </c>
      <c r="E17" s="69" t="s">
        <v>222</v>
      </c>
      <c r="F17" s="71">
        <v>-28.212299000000002</v>
      </c>
      <c r="G17" s="71">
        <v>30.675761999999999</v>
      </c>
    </row>
    <row r="18" spans="1:7" ht="15" x14ac:dyDescent="0.25">
      <c r="A18" s="70" t="s">
        <v>350</v>
      </c>
      <c r="B18" s="70" t="s">
        <v>369</v>
      </c>
      <c r="C18" s="70"/>
      <c r="D18" s="74" t="s">
        <v>382</v>
      </c>
      <c r="E18" s="74" t="s">
        <v>223</v>
      </c>
      <c r="F18" s="71">
        <v>-27.909203000000002</v>
      </c>
      <c r="G18" s="71">
        <v>31.646301000000001</v>
      </c>
    </row>
    <row r="19" spans="1:7" ht="15" x14ac:dyDescent="0.25">
      <c r="A19" s="70" t="s">
        <v>350</v>
      </c>
      <c r="B19" s="70" t="s">
        <v>369</v>
      </c>
      <c r="C19" s="70"/>
      <c r="D19" s="73" t="s">
        <v>383</v>
      </c>
      <c r="E19" s="73" t="s">
        <v>224</v>
      </c>
      <c r="F19" s="71">
        <v>-27.754594000000001</v>
      </c>
      <c r="G19" s="71">
        <v>29.935932999999999</v>
      </c>
    </row>
    <row r="20" spans="1:7" ht="15" x14ac:dyDescent="0.25">
      <c r="A20" s="70" t="s">
        <v>350</v>
      </c>
      <c r="B20" s="70" t="s">
        <v>369</v>
      </c>
      <c r="C20" s="70"/>
      <c r="D20" s="69" t="s">
        <v>384</v>
      </c>
      <c r="E20" s="69" t="s">
        <v>225</v>
      </c>
      <c r="F20" s="71">
        <v>-26.905487999999998</v>
      </c>
      <c r="G20" s="71">
        <v>32.282916</v>
      </c>
    </row>
    <row r="21" spans="1:7" ht="15" x14ac:dyDescent="0.25">
      <c r="A21" s="70" t="s">
        <v>350</v>
      </c>
      <c r="B21" s="70" t="s">
        <v>385</v>
      </c>
      <c r="C21" s="70"/>
      <c r="D21" s="70" t="s">
        <v>386</v>
      </c>
      <c r="E21" s="59" t="s">
        <v>87</v>
      </c>
      <c r="F21" s="71">
        <v>-26.86712</v>
      </c>
      <c r="G21" s="71">
        <v>26.665379999999999</v>
      </c>
    </row>
    <row r="22" spans="1:7" ht="15" x14ac:dyDescent="0.25">
      <c r="A22" s="70" t="s">
        <v>350</v>
      </c>
      <c r="B22" s="70" t="s">
        <v>385</v>
      </c>
      <c r="C22" s="70"/>
      <c r="D22" s="70" t="s">
        <v>387</v>
      </c>
      <c r="E22" s="59" t="s">
        <v>88</v>
      </c>
      <c r="F22" s="71">
        <v>-26.528687999999999</v>
      </c>
      <c r="G22" s="71">
        <v>27.829193</v>
      </c>
    </row>
    <row r="23" spans="1:7" ht="15" x14ac:dyDescent="0.25">
      <c r="A23" s="70" t="s">
        <v>350</v>
      </c>
      <c r="B23" s="70" t="s">
        <v>385</v>
      </c>
      <c r="C23" s="70"/>
      <c r="D23" s="59" t="s">
        <v>388</v>
      </c>
      <c r="E23" s="59" t="s">
        <v>389</v>
      </c>
      <c r="F23" s="71">
        <v>-26.277408999999999</v>
      </c>
      <c r="G23" s="71">
        <v>27.814150999999999</v>
      </c>
    </row>
    <row r="24" spans="1:7" ht="15" x14ac:dyDescent="0.25">
      <c r="A24" s="70" t="s">
        <v>350</v>
      </c>
      <c r="B24" s="70" t="s">
        <v>385</v>
      </c>
      <c r="C24" s="70"/>
      <c r="D24" s="70" t="s">
        <v>390</v>
      </c>
      <c r="E24" s="59" t="s">
        <v>89</v>
      </c>
      <c r="F24" s="71">
        <v>-26.258151999999999</v>
      </c>
      <c r="G24" s="71">
        <v>27.941431999999999</v>
      </c>
    </row>
    <row r="25" spans="1:7" ht="15" x14ac:dyDescent="0.25">
      <c r="A25" s="70" t="s">
        <v>350</v>
      </c>
      <c r="B25" s="70" t="s">
        <v>385</v>
      </c>
      <c r="C25" s="70"/>
      <c r="D25" s="70" t="s">
        <v>391</v>
      </c>
      <c r="E25" s="59" t="s">
        <v>90</v>
      </c>
      <c r="F25" s="71">
        <v>-26.201678000000001</v>
      </c>
      <c r="G25" s="71">
        <v>28.036373000000001</v>
      </c>
    </row>
    <row r="26" spans="1:7" ht="15" x14ac:dyDescent="0.25">
      <c r="A26" s="70" t="s">
        <v>350</v>
      </c>
      <c r="B26" s="70" t="s">
        <v>385</v>
      </c>
      <c r="C26" s="70"/>
      <c r="D26" s="70" t="s">
        <v>392</v>
      </c>
      <c r="E26" s="59" t="s">
        <v>91</v>
      </c>
      <c r="F26" s="71">
        <v>-26.199074</v>
      </c>
      <c r="G26" s="71">
        <v>28.045535000000001</v>
      </c>
    </row>
    <row r="27" spans="1:7" ht="15" x14ac:dyDescent="0.25">
      <c r="A27" s="70" t="s">
        <v>350</v>
      </c>
      <c r="B27" s="70" t="s">
        <v>385</v>
      </c>
      <c r="C27" s="70"/>
      <c r="D27" s="70" t="s">
        <v>393</v>
      </c>
      <c r="E27" s="59" t="s">
        <v>92</v>
      </c>
      <c r="F27" s="71">
        <v>-26.188907</v>
      </c>
      <c r="G27" s="71">
        <v>28.046983000000001</v>
      </c>
    </row>
    <row r="28" spans="1:7" ht="15" x14ac:dyDescent="0.25">
      <c r="A28" s="70" t="s">
        <v>350</v>
      </c>
      <c r="B28" s="70" t="s">
        <v>385</v>
      </c>
      <c r="C28" s="70"/>
      <c r="D28" s="70" t="s">
        <v>394</v>
      </c>
      <c r="E28" s="59" t="s">
        <v>93</v>
      </c>
      <c r="F28" s="71">
        <v>-26.108515000000001</v>
      </c>
      <c r="G28" s="71">
        <v>28.228033</v>
      </c>
    </row>
    <row r="29" spans="1:7" ht="15" x14ac:dyDescent="0.25">
      <c r="A29" s="70" t="s">
        <v>350</v>
      </c>
      <c r="B29" s="70" t="s">
        <v>385</v>
      </c>
      <c r="C29" s="70"/>
      <c r="D29" s="73" t="s">
        <v>395</v>
      </c>
      <c r="E29" s="59" t="s">
        <v>94</v>
      </c>
      <c r="F29" s="71">
        <v>-26.094628</v>
      </c>
      <c r="G29" s="71">
        <v>28.004878000000001</v>
      </c>
    </row>
    <row r="30" spans="1:7" ht="15" x14ac:dyDescent="0.25">
      <c r="A30" s="70" t="s">
        <v>350</v>
      </c>
      <c r="B30" s="70" t="s">
        <v>385</v>
      </c>
      <c r="C30" s="70"/>
      <c r="D30" s="70" t="s">
        <v>396</v>
      </c>
      <c r="E30" s="59" t="s">
        <v>95</v>
      </c>
      <c r="F30" s="71">
        <v>-26.034047000000001</v>
      </c>
      <c r="G30" s="71">
        <v>28.175622000000001</v>
      </c>
    </row>
    <row r="31" spans="1:7" ht="15" x14ac:dyDescent="0.25">
      <c r="A31" s="70" t="s">
        <v>350</v>
      </c>
      <c r="B31" s="70" t="s">
        <v>385</v>
      </c>
      <c r="C31" s="70"/>
      <c r="D31" s="59" t="s">
        <v>397</v>
      </c>
      <c r="E31" s="59" t="s">
        <v>96</v>
      </c>
      <c r="F31" s="71">
        <v>-26.017551999999998</v>
      </c>
      <c r="G31" s="71">
        <v>27.937871999999999</v>
      </c>
    </row>
    <row r="32" spans="1:7" ht="15" x14ac:dyDescent="0.25">
      <c r="A32" s="70" t="s">
        <v>350</v>
      </c>
      <c r="B32" s="70" t="s">
        <v>385</v>
      </c>
      <c r="C32" s="70"/>
      <c r="D32" s="70" t="s">
        <v>398</v>
      </c>
      <c r="E32" s="59" t="s">
        <v>97</v>
      </c>
      <c r="F32" s="71">
        <v>-25.740628000000001</v>
      </c>
      <c r="G32" s="71">
        <v>28.191914000000001</v>
      </c>
    </row>
    <row r="33" spans="1:7" ht="15" x14ac:dyDescent="0.25">
      <c r="A33" s="70" t="s">
        <v>350</v>
      </c>
      <c r="B33" s="70" t="s">
        <v>385</v>
      </c>
      <c r="C33" s="70"/>
      <c r="D33" s="70" t="s">
        <v>399</v>
      </c>
      <c r="E33" s="70" t="s">
        <v>98</v>
      </c>
      <c r="F33" s="72">
        <v>-25.467195</v>
      </c>
      <c r="G33" s="72">
        <v>30.981584000000002</v>
      </c>
    </row>
    <row r="34" spans="1:7" ht="15" x14ac:dyDescent="0.25">
      <c r="A34" s="70" t="s">
        <v>350</v>
      </c>
      <c r="B34" s="70" t="s">
        <v>385</v>
      </c>
      <c r="C34" s="70"/>
      <c r="D34" s="59" t="s">
        <v>400</v>
      </c>
      <c r="E34" s="59" t="s">
        <v>99</v>
      </c>
      <c r="F34" s="71">
        <v>-23.852395000000001</v>
      </c>
      <c r="G34" s="71">
        <v>29.398741999999999</v>
      </c>
    </row>
    <row r="35" spans="1:7" ht="15" x14ac:dyDescent="0.25">
      <c r="A35" s="70" t="s">
        <v>350</v>
      </c>
      <c r="B35" s="70" t="s">
        <v>378</v>
      </c>
      <c r="C35" s="70"/>
      <c r="D35" s="70" t="s">
        <v>157</v>
      </c>
      <c r="E35" s="70" t="s">
        <v>158</v>
      </c>
      <c r="F35" s="72">
        <v>-29.1206985</v>
      </c>
      <c r="G35" s="72">
        <v>26.224377699999899</v>
      </c>
    </row>
    <row r="36" spans="1:7" ht="15" x14ac:dyDescent="0.25">
      <c r="A36" s="70" t="s">
        <v>350</v>
      </c>
      <c r="B36" s="70" t="s">
        <v>378</v>
      </c>
      <c r="C36" s="70"/>
      <c r="D36" s="70" t="s">
        <v>159</v>
      </c>
      <c r="E36" s="70" t="s">
        <v>160</v>
      </c>
      <c r="F36" s="72">
        <v>-29.119491499999999</v>
      </c>
      <c r="G36" s="72">
        <v>26.223754699999901</v>
      </c>
    </row>
    <row r="37" spans="1:7" ht="15" x14ac:dyDescent="0.25">
      <c r="A37" s="70" t="s">
        <v>350</v>
      </c>
      <c r="B37" s="70" t="s">
        <v>378</v>
      </c>
      <c r="C37" s="70"/>
      <c r="D37" s="70" t="s">
        <v>161</v>
      </c>
      <c r="E37" s="73" t="s">
        <v>162</v>
      </c>
      <c r="F37" s="75">
        <v>-28.741261999999999</v>
      </c>
      <c r="G37" s="75">
        <v>24.7649129999999</v>
      </c>
    </row>
    <row r="38" spans="1:7" ht="15" x14ac:dyDescent="0.25">
      <c r="A38" s="70" t="s">
        <v>350</v>
      </c>
      <c r="B38" s="70" t="s">
        <v>385</v>
      </c>
      <c r="C38" s="70"/>
      <c r="D38" s="70" t="s">
        <v>401</v>
      </c>
      <c r="E38" s="59" t="s">
        <v>100</v>
      </c>
      <c r="F38" s="71">
        <v>-26.343013500000001</v>
      </c>
      <c r="G38" s="71">
        <v>28.2071691999999</v>
      </c>
    </row>
    <row r="39" spans="1:7" ht="15" x14ac:dyDescent="0.25">
      <c r="A39" s="70" t="s">
        <v>350</v>
      </c>
      <c r="B39" s="70" t="s">
        <v>385</v>
      </c>
      <c r="C39" s="70"/>
      <c r="D39" s="70" t="s">
        <v>402</v>
      </c>
      <c r="E39" s="59" t="s">
        <v>101</v>
      </c>
      <c r="F39" s="71">
        <v>-25.901649899999999</v>
      </c>
      <c r="G39" s="71">
        <v>29.236392799999901</v>
      </c>
    </row>
    <row r="40" spans="1:7" ht="15" x14ac:dyDescent="0.25">
      <c r="A40" s="70" t="s">
        <v>350</v>
      </c>
      <c r="B40" s="70" t="s">
        <v>369</v>
      </c>
      <c r="C40" s="70"/>
      <c r="D40" s="69" t="s">
        <v>403</v>
      </c>
      <c r="E40" s="69" t="s">
        <v>226</v>
      </c>
      <c r="F40" s="71">
        <v>-29.813144000000001</v>
      </c>
      <c r="G40" s="71">
        <v>30.856622999999999</v>
      </c>
    </row>
    <row r="41" spans="1:7" ht="15" x14ac:dyDescent="0.25">
      <c r="A41" s="70" t="s">
        <v>350</v>
      </c>
      <c r="B41" s="70" t="s">
        <v>369</v>
      </c>
      <c r="C41" s="70"/>
      <c r="D41" s="74" t="s">
        <v>404</v>
      </c>
      <c r="E41" s="74" t="s">
        <v>227</v>
      </c>
      <c r="F41" s="71">
        <v>-29.813320599999901</v>
      </c>
      <c r="G41" s="71">
        <v>30.8569777999999</v>
      </c>
    </row>
    <row r="42" spans="1:7" ht="15" x14ac:dyDescent="0.25">
      <c r="A42" s="70" t="s">
        <v>350</v>
      </c>
      <c r="B42" s="70" t="s">
        <v>369</v>
      </c>
      <c r="C42" s="70"/>
      <c r="D42" s="74" t="s">
        <v>405</v>
      </c>
      <c r="E42" s="74" t="s">
        <v>228</v>
      </c>
      <c r="F42" s="72">
        <v>-28.56202</v>
      </c>
      <c r="G42" s="71">
        <v>29.782579999999999</v>
      </c>
    </row>
    <row r="43" spans="1:7" ht="15" x14ac:dyDescent="0.25">
      <c r="A43" s="70" t="s">
        <v>350</v>
      </c>
      <c r="B43" s="70" t="s">
        <v>369</v>
      </c>
      <c r="C43" s="70"/>
      <c r="D43" s="74" t="s">
        <v>406</v>
      </c>
      <c r="E43" s="70" t="s">
        <v>229</v>
      </c>
      <c r="F43" s="72">
        <v>-26.988742899999998</v>
      </c>
      <c r="G43" s="72">
        <v>32.7570914</v>
      </c>
    </row>
    <row r="44" spans="1:7" ht="15" x14ac:dyDescent="0.25">
      <c r="A44" s="70" t="s">
        <v>407</v>
      </c>
      <c r="B44" s="60" t="s">
        <v>408</v>
      </c>
      <c r="C44" s="63">
        <v>4096</v>
      </c>
      <c r="D44" s="62" t="s">
        <v>102</v>
      </c>
      <c r="E44" s="64" t="s">
        <v>103</v>
      </c>
      <c r="F44" s="76">
        <v>-15.472469</v>
      </c>
      <c r="G44" s="76">
        <v>28.263594999999999</v>
      </c>
    </row>
    <row r="45" spans="1:7" ht="15" x14ac:dyDescent="0.25">
      <c r="A45" s="70" t="s">
        <v>407</v>
      </c>
      <c r="B45" s="60" t="s">
        <v>385</v>
      </c>
      <c r="C45" s="61" t="s">
        <v>305</v>
      </c>
      <c r="D45" s="62" t="s">
        <v>409</v>
      </c>
      <c r="E45" s="60" t="s">
        <v>81</v>
      </c>
      <c r="F45" s="76">
        <v>-26.163285999999999</v>
      </c>
      <c r="G45" s="76">
        <v>27.870144</v>
      </c>
    </row>
    <row r="46" spans="1:7" ht="15" x14ac:dyDescent="0.25">
      <c r="A46" s="70" t="s">
        <v>407</v>
      </c>
      <c r="B46" s="60" t="s">
        <v>385</v>
      </c>
      <c r="C46" s="61" t="s">
        <v>306</v>
      </c>
      <c r="D46" s="62" t="s">
        <v>410</v>
      </c>
      <c r="E46" s="60" t="s">
        <v>82</v>
      </c>
      <c r="F46" s="76">
        <v>-26.156257</v>
      </c>
      <c r="G46" s="76">
        <v>27.868193999999999</v>
      </c>
    </row>
    <row r="47" spans="1:7" ht="15" x14ac:dyDescent="0.25">
      <c r="A47" s="70" t="s">
        <v>407</v>
      </c>
      <c r="B47" s="60" t="s">
        <v>408</v>
      </c>
      <c r="C47" s="61" t="s">
        <v>411</v>
      </c>
      <c r="D47" s="62" t="s">
        <v>104</v>
      </c>
      <c r="E47" s="57" t="s">
        <v>105</v>
      </c>
      <c r="F47" s="76">
        <v>-25.04974</v>
      </c>
      <c r="G47" s="76">
        <v>33.645659000000002</v>
      </c>
    </row>
    <row r="48" spans="1:7" ht="15" x14ac:dyDescent="0.25">
      <c r="A48" s="70" t="s">
        <v>407</v>
      </c>
      <c r="B48" s="60" t="s">
        <v>412</v>
      </c>
      <c r="C48" s="61" t="s">
        <v>324</v>
      </c>
      <c r="D48" s="62" t="s">
        <v>325</v>
      </c>
      <c r="E48" s="60" t="s">
        <v>326</v>
      </c>
      <c r="F48" s="76">
        <v>-30.861806999999999</v>
      </c>
      <c r="G48" s="76">
        <v>29.857157000000001</v>
      </c>
    </row>
    <row r="49" spans="1:7" ht="15" x14ac:dyDescent="0.25">
      <c r="A49" s="70" t="s">
        <v>407</v>
      </c>
      <c r="B49" s="60" t="s">
        <v>412</v>
      </c>
      <c r="C49" s="61" t="s">
        <v>314</v>
      </c>
      <c r="D49" s="62" t="s">
        <v>106</v>
      </c>
      <c r="E49" s="60" t="s">
        <v>107</v>
      </c>
      <c r="F49" s="76">
        <v>-32.328741999999998</v>
      </c>
      <c r="G49" s="76">
        <v>28.154779999999999</v>
      </c>
    </row>
    <row r="50" spans="1:7" ht="15" x14ac:dyDescent="0.25">
      <c r="A50" s="70" t="s">
        <v>407</v>
      </c>
      <c r="B50" s="60" t="s">
        <v>412</v>
      </c>
      <c r="C50" s="61" t="s">
        <v>315</v>
      </c>
      <c r="D50" s="62" t="s">
        <v>108</v>
      </c>
      <c r="E50" s="60" t="s">
        <v>109</v>
      </c>
      <c r="F50" s="76">
        <v>-31.674782</v>
      </c>
      <c r="G50" s="76">
        <v>27.997655999999999</v>
      </c>
    </row>
    <row r="51" spans="1:7" ht="15" x14ac:dyDescent="0.25">
      <c r="A51" s="70" t="s">
        <v>407</v>
      </c>
      <c r="B51" s="60" t="s">
        <v>369</v>
      </c>
      <c r="C51" s="61" t="s">
        <v>331</v>
      </c>
      <c r="D51" s="62" t="s">
        <v>413</v>
      </c>
      <c r="E51" s="60" t="s">
        <v>201</v>
      </c>
      <c r="F51" s="76">
        <v>-28.887333999999999</v>
      </c>
      <c r="G51" s="76">
        <v>31.472550999999999</v>
      </c>
    </row>
    <row r="52" spans="1:7" ht="15" x14ac:dyDescent="0.25">
      <c r="A52" s="70" t="s">
        <v>407</v>
      </c>
      <c r="B52" s="60" t="s">
        <v>412</v>
      </c>
      <c r="C52" s="61" t="s">
        <v>316</v>
      </c>
      <c r="D52" s="62" t="s">
        <v>110</v>
      </c>
      <c r="E52" s="60" t="s">
        <v>111</v>
      </c>
      <c r="F52" s="76">
        <v>-32.097267000000002</v>
      </c>
      <c r="G52" s="76">
        <v>28.300764999999998</v>
      </c>
    </row>
    <row r="53" spans="1:7" ht="15" x14ac:dyDescent="0.25">
      <c r="A53" s="70" t="s">
        <v>407</v>
      </c>
      <c r="B53" s="60" t="s">
        <v>412</v>
      </c>
      <c r="C53" s="61" t="s">
        <v>317</v>
      </c>
      <c r="D53" s="62" t="s">
        <v>112</v>
      </c>
      <c r="E53" s="60" t="s">
        <v>113</v>
      </c>
      <c r="F53" s="76">
        <v>-32.889420999999999</v>
      </c>
      <c r="G53" s="76">
        <v>27.393307</v>
      </c>
    </row>
    <row r="54" spans="1:7" ht="15" x14ac:dyDescent="0.25">
      <c r="A54" s="70" t="s">
        <v>407</v>
      </c>
      <c r="B54" s="60" t="s">
        <v>412</v>
      </c>
      <c r="C54" s="61" t="s">
        <v>327</v>
      </c>
      <c r="D54" s="62" t="s">
        <v>328</v>
      </c>
      <c r="E54" s="60" t="s">
        <v>329</v>
      </c>
      <c r="F54" s="76">
        <v>-31.362109</v>
      </c>
      <c r="G54" s="76">
        <v>29.572101</v>
      </c>
    </row>
    <row r="55" spans="1:7" ht="15" x14ac:dyDescent="0.25">
      <c r="A55" s="70" t="s">
        <v>407</v>
      </c>
      <c r="B55" s="60" t="s">
        <v>412</v>
      </c>
      <c r="C55" s="61" t="s">
        <v>318</v>
      </c>
      <c r="D55" s="62" t="s">
        <v>114</v>
      </c>
      <c r="E55" s="60" t="s">
        <v>115</v>
      </c>
      <c r="F55" s="76">
        <v>-31.068878999999999</v>
      </c>
      <c r="G55" s="76">
        <v>28.351517999999999</v>
      </c>
    </row>
    <row r="56" spans="1:7" ht="15" x14ac:dyDescent="0.25">
      <c r="A56" s="70" t="s">
        <v>407</v>
      </c>
      <c r="B56" s="60" t="s">
        <v>412</v>
      </c>
      <c r="C56" s="61" t="s">
        <v>414</v>
      </c>
      <c r="D56" s="62" t="s">
        <v>415</v>
      </c>
      <c r="E56" s="60" t="s">
        <v>416</v>
      </c>
      <c r="F56" s="76">
        <v>-30.341363000000001</v>
      </c>
      <c r="G56" s="76">
        <v>28.805954</v>
      </c>
    </row>
    <row r="57" spans="1:7" ht="15" x14ac:dyDescent="0.25">
      <c r="A57" s="70" t="s">
        <v>407</v>
      </c>
      <c r="B57" s="60" t="s">
        <v>412</v>
      </c>
      <c r="C57" s="61" t="s">
        <v>417</v>
      </c>
      <c r="D57" s="62" t="s">
        <v>116</v>
      </c>
      <c r="E57" s="60" t="s">
        <v>117</v>
      </c>
      <c r="F57" s="76">
        <v>-30.893626000000001</v>
      </c>
      <c r="G57" s="76">
        <v>28.997821999999999</v>
      </c>
    </row>
    <row r="58" spans="1:7" ht="15" x14ac:dyDescent="0.25">
      <c r="A58" s="70" t="s">
        <v>407</v>
      </c>
      <c r="B58" s="60" t="s">
        <v>369</v>
      </c>
      <c r="C58" s="61" t="s">
        <v>332</v>
      </c>
      <c r="D58" s="62" t="s">
        <v>418</v>
      </c>
      <c r="E58" s="60" t="s">
        <v>202</v>
      </c>
      <c r="F58" s="76">
        <v>-27.913575999999999</v>
      </c>
      <c r="G58" s="76">
        <v>31.647984000000001</v>
      </c>
    </row>
    <row r="59" spans="1:7" ht="15" x14ac:dyDescent="0.25">
      <c r="A59" s="70" t="s">
        <v>407</v>
      </c>
      <c r="B59" s="60" t="s">
        <v>369</v>
      </c>
      <c r="C59" s="61" t="s">
        <v>333</v>
      </c>
      <c r="D59" s="62" t="s">
        <v>419</v>
      </c>
      <c r="E59" s="60" t="s">
        <v>203</v>
      </c>
      <c r="F59" s="76">
        <v>-28.209800000000001</v>
      </c>
      <c r="G59" s="76">
        <v>30.674464</v>
      </c>
    </row>
    <row r="60" spans="1:7" ht="15" x14ac:dyDescent="0.25">
      <c r="A60" s="70" t="s">
        <v>407</v>
      </c>
      <c r="B60" s="60" t="s">
        <v>412</v>
      </c>
      <c r="C60" s="61" t="s">
        <v>319</v>
      </c>
      <c r="D60" s="62" t="s">
        <v>118</v>
      </c>
      <c r="E60" s="60" t="s">
        <v>119</v>
      </c>
      <c r="F60" s="76">
        <v>-31.904268999999999</v>
      </c>
      <c r="G60" s="76">
        <v>26.878423999999999</v>
      </c>
    </row>
    <row r="61" spans="1:7" ht="15" x14ac:dyDescent="0.25">
      <c r="A61" s="70" t="s">
        <v>407</v>
      </c>
      <c r="B61" s="60" t="s">
        <v>412</v>
      </c>
      <c r="C61" s="61" t="s">
        <v>320</v>
      </c>
      <c r="D61" s="62" t="s">
        <v>120</v>
      </c>
      <c r="E61" s="60" t="s">
        <v>121</v>
      </c>
      <c r="F61" s="76">
        <v>-31.598354</v>
      </c>
      <c r="G61" s="76">
        <v>28.781625999999999</v>
      </c>
    </row>
    <row r="62" spans="1:7" ht="15" x14ac:dyDescent="0.25">
      <c r="A62" s="70" t="s">
        <v>407</v>
      </c>
      <c r="B62" s="60" t="s">
        <v>367</v>
      </c>
      <c r="C62" s="61" t="s">
        <v>341</v>
      </c>
      <c r="D62" s="62" t="s">
        <v>420</v>
      </c>
      <c r="E62" s="60" t="s">
        <v>421</v>
      </c>
      <c r="F62" s="76">
        <v>-33.981012</v>
      </c>
      <c r="G62" s="76">
        <v>22.471751000000001</v>
      </c>
    </row>
    <row r="63" spans="1:7" ht="15" x14ac:dyDescent="0.25">
      <c r="A63" s="70" t="s">
        <v>407</v>
      </c>
      <c r="B63" s="60" t="s">
        <v>369</v>
      </c>
      <c r="C63" s="61" t="s">
        <v>334</v>
      </c>
      <c r="D63" s="62" t="s">
        <v>422</v>
      </c>
      <c r="E63" s="60" t="s">
        <v>204</v>
      </c>
      <c r="F63" s="76">
        <v>-28.780137</v>
      </c>
      <c r="G63" s="76">
        <v>31.902401000000001</v>
      </c>
    </row>
    <row r="64" spans="1:7" ht="15" x14ac:dyDescent="0.25">
      <c r="A64" s="70" t="s">
        <v>407</v>
      </c>
      <c r="B64" s="60" t="s">
        <v>412</v>
      </c>
      <c r="C64" s="61" t="s">
        <v>321</v>
      </c>
      <c r="D64" s="62" t="s">
        <v>11</v>
      </c>
      <c r="E64" s="60" t="s">
        <v>423</v>
      </c>
      <c r="F64" s="76">
        <v>-32.264994000000002</v>
      </c>
      <c r="G64" s="76">
        <v>28.499417000000001</v>
      </c>
    </row>
    <row r="65" spans="1:7" ht="15" x14ac:dyDescent="0.25">
      <c r="A65" s="70" t="s">
        <v>407</v>
      </c>
      <c r="B65" s="60" t="s">
        <v>378</v>
      </c>
      <c r="C65" s="61" t="s">
        <v>424</v>
      </c>
      <c r="D65" s="62" t="s">
        <v>425</v>
      </c>
      <c r="E65" s="60" t="s">
        <v>426</v>
      </c>
      <c r="F65" s="76">
        <v>-28.858885000000001</v>
      </c>
      <c r="G65" s="76">
        <v>27.878174000000001</v>
      </c>
    </row>
    <row r="66" spans="1:7" ht="15" x14ac:dyDescent="0.25">
      <c r="A66" s="70" t="s">
        <v>407</v>
      </c>
      <c r="B66" s="60" t="s">
        <v>412</v>
      </c>
      <c r="C66" s="61" t="s">
        <v>346</v>
      </c>
      <c r="D66" s="62" t="s">
        <v>427</v>
      </c>
      <c r="E66" s="60" t="s">
        <v>347</v>
      </c>
      <c r="F66" s="76">
        <v>-33.930756000000002</v>
      </c>
      <c r="G66" s="76">
        <v>25.603551</v>
      </c>
    </row>
    <row r="67" spans="1:7" ht="15" x14ac:dyDescent="0.25">
      <c r="A67" s="70" t="s">
        <v>407</v>
      </c>
      <c r="B67" s="60" t="s">
        <v>428</v>
      </c>
      <c r="C67" s="61" t="s">
        <v>429</v>
      </c>
      <c r="D67" s="62" t="s">
        <v>430</v>
      </c>
      <c r="E67" s="60" t="s">
        <v>431</v>
      </c>
      <c r="F67" s="76">
        <v>-25.042176000000001</v>
      </c>
      <c r="G67" s="76">
        <v>31.125139000000001</v>
      </c>
    </row>
    <row r="68" spans="1:7" ht="15" x14ac:dyDescent="0.25">
      <c r="A68" s="70" t="s">
        <v>407</v>
      </c>
      <c r="B68" s="60" t="s">
        <v>432</v>
      </c>
      <c r="C68" s="61" t="s">
        <v>433</v>
      </c>
      <c r="D68" s="62" t="s">
        <v>434</v>
      </c>
      <c r="E68" s="60" t="s">
        <v>435</v>
      </c>
      <c r="F68" s="76">
        <v>-28.731715000000001</v>
      </c>
      <c r="G68" s="76">
        <v>24.761382000000001</v>
      </c>
    </row>
    <row r="69" spans="1:7" ht="15" x14ac:dyDescent="0.25">
      <c r="A69" s="70" t="s">
        <v>407</v>
      </c>
      <c r="B69" s="60" t="s">
        <v>436</v>
      </c>
      <c r="C69" s="61" t="s">
        <v>437</v>
      </c>
      <c r="D69" s="62" t="s">
        <v>438</v>
      </c>
      <c r="E69" s="60" t="s">
        <v>439</v>
      </c>
      <c r="F69" s="76">
        <v>-26.871670000000002</v>
      </c>
      <c r="G69" s="76">
        <v>26.624676999999998</v>
      </c>
    </row>
    <row r="70" spans="1:7" ht="15" x14ac:dyDescent="0.25">
      <c r="A70" s="70" t="s">
        <v>407</v>
      </c>
      <c r="B70" s="60" t="s">
        <v>412</v>
      </c>
      <c r="C70" s="61" t="s">
        <v>440</v>
      </c>
      <c r="D70" s="62" t="s">
        <v>441</v>
      </c>
      <c r="E70" s="60" t="s">
        <v>442</v>
      </c>
      <c r="F70" s="76">
        <v>-31.362212</v>
      </c>
      <c r="G70" s="76">
        <v>29.573976999999999</v>
      </c>
    </row>
    <row r="71" spans="1:7" ht="15" x14ac:dyDescent="0.25">
      <c r="A71" s="70" t="s">
        <v>407</v>
      </c>
      <c r="B71" s="60" t="s">
        <v>369</v>
      </c>
      <c r="C71" s="61" t="s">
        <v>335</v>
      </c>
      <c r="D71" s="62" t="s">
        <v>443</v>
      </c>
      <c r="E71" s="60" t="s">
        <v>205</v>
      </c>
      <c r="F71" s="76">
        <v>-27.098935000000001</v>
      </c>
      <c r="G71" s="76">
        <v>32.160203000000003</v>
      </c>
    </row>
    <row r="72" spans="1:7" ht="15" x14ac:dyDescent="0.25">
      <c r="A72" s="70" t="s">
        <v>407</v>
      </c>
      <c r="B72" s="60" t="s">
        <v>369</v>
      </c>
      <c r="C72" s="61" t="s">
        <v>336</v>
      </c>
      <c r="D72" s="62" t="s">
        <v>444</v>
      </c>
      <c r="E72" s="60" t="s">
        <v>206</v>
      </c>
      <c r="F72" s="76">
        <v>-26.990987000000001</v>
      </c>
      <c r="G72" s="76">
        <v>32.749744999999997</v>
      </c>
    </row>
    <row r="73" spans="1:7" ht="15" x14ac:dyDescent="0.25">
      <c r="A73" s="70" t="s">
        <v>407</v>
      </c>
      <c r="B73" s="60" t="s">
        <v>385</v>
      </c>
      <c r="C73" s="61" t="s">
        <v>307</v>
      </c>
      <c r="D73" s="62" t="s">
        <v>445</v>
      </c>
      <c r="E73" s="60" t="s">
        <v>83</v>
      </c>
      <c r="F73" s="76">
        <v>-26.226959999999998</v>
      </c>
      <c r="G73" s="76">
        <v>28.079848999999999</v>
      </c>
    </row>
    <row r="74" spans="1:7" ht="15" x14ac:dyDescent="0.25">
      <c r="A74" s="70" t="s">
        <v>407</v>
      </c>
      <c r="B74" s="60" t="s">
        <v>367</v>
      </c>
      <c r="C74" s="61" t="s">
        <v>342</v>
      </c>
      <c r="D74" s="62" t="s">
        <v>446</v>
      </c>
      <c r="E74" s="60" t="s">
        <v>447</v>
      </c>
      <c r="F74" s="76">
        <v>-34.182606</v>
      </c>
      <c r="G74" s="76">
        <v>22.113745999999999</v>
      </c>
    </row>
    <row r="75" spans="1:7" ht="15" x14ac:dyDescent="0.25">
      <c r="A75" s="70" t="s">
        <v>407</v>
      </c>
      <c r="B75" s="60" t="s">
        <v>369</v>
      </c>
      <c r="C75" s="61" t="s">
        <v>337</v>
      </c>
      <c r="D75" s="62" t="s">
        <v>448</v>
      </c>
      <c r="E75" s="60" t="s">
        <v>207</v>
      </c>
      <c r="F75" s="76">
        <v>-28.417218999999999</v>
      </c>
      <c r="G75" s="76">
        <v>32.187309999999997</v>
      </c>
    </row>
    <row r="76" spans="1:7" ht="15" x14ac:dyDescent="0.25">
      <c r="A76" s="70" t="s">
        <v>407</v>
      </c>
      <c r="B76" s="60" t="s">
        <v>428</v>
      </c>
      <c r="C76" s="61" t="s">
        <v>449</v>
      </c>
      <c r="D76" s="62" t="s">
        <v>450</v>
      </c>
      <c r="E76" s="60" t="s">
        <v>451</v>
      </c>
      <c r="F76" s="76">
        <v>-25.462558999999999</v>
      </c>
      <c r="G76" s="76">
        <v>30.969176000000001</v>
      </c>
    </row>
    <row r="77" spans="1:7" ht="15" x14ac:dyDescent="0.25">
      <c r="A77" s="70" t="s">
        <v>407</v>
      </c>
      <c r="B77" s="60" t="s">
        <v>367</v>
      </c>
      <c r="C77" s="61" t="s">
        <v>343</v>
      </c>
      <c r="D77" s="62" t="s">
        <v>452</v>
      </c>
      <c r="E77" s="60" t="s">
        <v>453</v>
      </c>
      <c r="F77" s="76">
        <v>-34.003630999999999</v>
      </c>
      <c r="G77" s="76">
        <v>18.606936000000001</v>
      </c>
    </row>
    <row r="78" spans="1:7" ht="15" x14ac:dyDescent="0.25">
      <c r="A78" s="70" t="s">
        <v>407</v>
      </c>
      <c r="B78" s="60" t="s">
        <v>428</v>
      </c>
      <c r="C78" s="61" t="s">
        <v>454</v>
      </c>
      <c r="D78" s="62" t="s">
        <v>455</v>
      </c>
      <c r="E78" s="60" t="s">
        <v>456</v>
      </c>
      <c r="F78" s="76">
        <v>-27.002911999999998</v>
      </c>
      <c r="G78" s="76">
        <v>30.802773999999999</v>
      </c>
    </row>
    <row r="79" spans="1:7" ht="15" x14ac:dyDescent="0.25">
      <c r="A79" s="70" t="s">
        <v>407</v>
      </c>
      <c r="B79" s="60" t="s">
        <v>457</v>
      </c>
      <c r="C79" s="61" t="s">
        <v>458</v>
      </c>
      <c r="D79" s="62" t="s">
        <v>459</v>
      </c>
      <c r="E79" s="60" t="s">
        <v>460</v>
      </c>
      <c r="F79" s="76">
        <v>-23.908768999999999</v>
      </c>
      <c r="G79" s="76">
        <v>29.441386999999999</v>
      </c>
    </row>
    <row r="80" spans="1:7" ht="15" x14ac:dyDescent="0.25">
      <c r="A80" s="70" t="s">
        <v>407</v>
      </c>
      <c r="B80" s="60" t="s">
        <v>385</v>
      </c>
      <c r="C80" s="61" t="s">
        <v>308</v>
      </c>
      <c r="D80" s="62" t="s">
        <v>461</v>
      </c>
      <c r="E80" s="60" t="s">
        <v>84</v>
      </c>
      <c r="F80" s="76">
        <v>-25.716913000000002</v>
      </c>
      <c r="G80" s="76">
        <v>28.106065999999998</v>
      </c>
    </row>
    <row r="81" spans="1:7" ht="15" x14ac:dyDescent="0.25">
      <c r="A81" s="70" t="s">
        <v>407</v>
      </c>
      <c r="B81" s="60" t="s">
        <v>378</v>
      </c>
      <c r="C81" s="61" t="s">
        <v>462</v>
      </c>
      <c r="D81" s="62" t="s">
        <v>463</v>
      </c>
      <c r="E81" s="60" t="s">
        <v>464</v>
      </c>
      <c r="F81" s="76">
        <v>-28.533435000000001</v>
      </c>
      <c r="G81" s="76">
        <v>28.833366000000002</v>
      </c>
    </row>
    <row r="82" spans="1:7" ht="15" x14ac:dyDescent="0.25">
      <c r="A82" s="70" t="s">
        <v>407</v>
      </c>
      <c r="B82" s="60" t="s">
        <v>436</v>
      </c>
      <c r="C82" s="61" t="s">
        <v>465</v>
      </c>
      <c r="D82" s="62" t="s">
        <v>466</v>
      </c>
      <c r="E82" s="60" t="s">
        <v>467</v>
      </c>
      <c r="F82" s="76">
        <v>-25.670432000000002</v>
      </c>
      <c r="G82" s="76">
        <v>27.258666999999999</v>
      </c>
    </row>
    <row r="83" spans="1:7" ht="15" x14ac:dyDescent="0.25">
      <c r="A83" s="70" t="s">
        <v>407</v>
      </c>
      <c r="B83" s="60" t="s">
        <v>385</v>
      </c>
      <c r="C83" s="61" t="s">
        <v>309</v>
      </c>
      <c r="D83" s="62" t="s">
        <v>468</v>
      </c>
      <c r="E83" s="60" t="s">
        <v>85</v>
      </c>
      <c r="F83" s="76">
        <v>-26.264481</v>
      </c>
      <c r="G83" s="76">
        <v>28.418443</v>
      </c>
    </row>
    <row r="84" spans="1:7" ht="15" x14ac:dyDescent="0.25">
      <c r="A84" s="70" t="s">
        <v>407</v>
      </c>
      <c r="B84" s="60" t="s">
        <v>412</v>
      </c>
      <c r="C84" s="61" t="s">
        <v>322</v>
      </c>
      <c r="D84" s="62" t="s">
        <v>9</v>
      </c>
      <c r="E84" s="60" t="s">
        <v>122</v>
      </c>
      <c r="F84" s="76">
        <v>-32.202998000000001</v>
      </c>
      <c r="G84" s="76">
        <v>27.936796000000001</v>
      </c>
    </row>
    <row r="85" spans="1:7" ht="15" x14ac:dyDescent="0.25">
      <c r="A85" s="70" t="s">
        <v>407</v>
      </c>
      <c r="B85" s="60" t="s">
        <v>457</v>
      </c>
      <c r="C85" s="61" t="s">
        <v>469</v>
      </c>
      <c r="D85" s="62" t="s">
        <v>470</v>
      </c>
      <c r="E85" s="60" t="s">
        <v>471</v>
      </c>
      <c r="F85" s="76">
        <v>-24.17895</v>
      </c>
      <c r="G85" s="76">
        <v>29.008375000000001</v>
      </c>
    </row>
    <row r="86" spans="1:7" ht="15" x14ac:dyDescent="0.25">
      <c r="A86" s="70" t="s">
        <v>407</v>
      </c>
      <c r="B86" s="60" t="s">
        <v>457</v>
      </c>
      <c r="C86" s="61" t="s">
        <v>472</v>
      </c>
      <c r="D86" s="62" t="s">
        <v>473</v>
      </c>
      <c r="E86" s="60" t="s">
        <v>474</v>
      </c>
      <c r="F86" s="76">
        <v>-23.828368999999999</v>
      </c>
      <c r="G86" s="76">
        <v>30.165469000000002</v>
      </c>
    </row>
    <row r="87" spans="1:7" ht="15" x14ac:dyDescent="0.25">
      <c r="A87" s="70" t="s">
        <v>407</v>
      </c>
      <c r="B87" s="60" t="s">
        <v>436</v>
      </c>
      <c r="C87" s="61" t="s">
        <v>475</v>
      </c>
      <c r="D87" s="62" t="s">
        <v>476</v>
      </c>
      <c r="E87" s="60" t="s">
        <v>477</v>
      </c>
      <c r="F87" s="76">
        <v>-26.958186000000001</v>
      </c>
      <c r="G87" s="76">
        <v>24.730238</v>
      </c>
    </row>
    <row r="88" spans="1:7" ht="15" x14ac:dyDescent="0.25">
      <c r="A88" s="70" t="s">
        <v>407</v>
      </c>
      <c r="B88" s="60" t="s">
        <v>369</v>
      </c>
      <c r="C88" s="61" t="s">
        <v>478</v>
      </c>
      <c r="D88" s="62" t="s">
        <v>479</v>
      </c>
      <c r="E88" s="60" t="s">
        <v>208</v>
      </c>
      <c r="F88" s="76">
        <v>-27.767015000000001</v>
      </c>
      <c r="G88" s="76">
        <v>30.799603999999999</v>
      </c>
    </row>
    <row r="89" spans="1:7" ht="15" x14ac:dyDescent="0.25">
      <c r="A89" s="70" t="s">
        <v>407</v>
      </c>
      <c r="B89" s="60" t="s">
        <v>369</v>
      </c>
      <c r="C89" s="61" t="s">
        <v>480</v>
      </c>
      <c r="D89" s="62" t="s">
        <v>481</v>
      </c>
      <c r="E89" s="60" t="s">
        <v>482</v>
      </c>
      <c r="F89" s="76">
        <v>-27.765542</v>
      </c>
      <c r="G89" s="76">
        <v>30.799104</v>
      </c>
    </row>
    <row r="90" spans="1:7" ht="15" x14ac:dyDescent="0.25">
      <c r="A90" s="70" t="s">
        <v>407</v>
      </c>
      <c r="B90" s="60" t="s">
        <v>378</v>
      </c>
      <c r="C90" s="61" t="s">
        <v>483</v>
      </c>
      <c r="D90" s="62" t="s">
        <v>484</v>
      </c>
      <c r="E90" s="60" t="s">
        <v>485</v>
      </c>
      <c r="F90" s="76">
        <v>-27.986906000000001</v>
      </c>
      <c r="G90" s="76">
        <v>26.774668999999999</v>
      </c>
    </row>
    <row r="91" spans="1:7" ht="15" x14ac:dyDescent="0.25">
      <c r="A91" s="70" t="s">
        <v>407</v>
      </c>
      <c r="B91" s="60" t="s">
        <v>369</v>
      </c>
      <c r="C91" s="61" t="s">
        <v>338</v>
      </c>
      <c r="D91" s="62" t="s">
        <v>486</v>
      </c>
      <c r="E91" s="60" t="s">
        <v>209</v>
      </c>
      <c r="F91" s="76">
        <v>-29.812951999999999</v>
      </c>
      <c r="G91" s="76">
        <v>30.825706</v>
      </c>
    </row>
    <row r="92" spans="1:7" ht="15" x14ac:dyDescent="0.25">
      <c r="A92" s="70" t="s">
        <v>407</v>
      </c>
      <c r="B92" s="65" t="s">
        <v>428</v>
      </c>
      <c r="C92" s="66" t="s">
        <v>487</v>
      </c>
      <c r="D92" s="67" t="s">
        <v>488</v>
      </c>
      <c r="E92" s="68" t="s">
        <v>489</v>
      </c>
      <c r="F92" s="76">
        <v>-25.880825000000002</v>
      </c>
      <c r="G92" s="76">
        <v>29.206288000000001</v>
      </c>
    </row>
    <row r="93" spans="1:7" ht="15" x14ac:dyDescent="0.25">
      <c r="A93" s="70" t="s">
        <v>407</v>
      </c>
      <c r="B93" s="60" t="s">
        <v>385</v>
      </c>
      <c r="C93" s="61" t="s">
        <v>310</v>
      </c>
      <c r="D93" s="62" t="s">
        <v>490</v>
      </c>
      <c r="E93" s="60" t="s">
        <v>86</v>
      </c>
      <c r="F93" s="76">
        <v>-26.215949999999999</v>
      </c>
      <c r="G93" s="76">
        <v>28.011106999999999</v>
      </c>
    </row>
    <row r="94" spans="1:7" ht="15" x14ac:dyDescent="0.25">
      <c r="A94" s="70" t="s">
        <v>407</v>
      </c>
      <c r="B94" s="60" t="s">
        <v>369</v>
      </c>
      <c r="C94" s="61" t="s">
        <v>339</v>
      </c>
      <c r="D94" s="62" t="s">
        <v>491</v>
      </c>
      <c r="E94" s="60" t="s">
        <v>210</v>
      </c>
      <c r="F94" s="76">
        <v>-29.851191</v>
      </c>
      <c r="G94" s="76">
        <v>31.034483999999999</v>
      </c>
    </row>
    <row r="95" spans="1:7" ht="15" x14ac:dyDescent="0.25">
      <c r="A95" s="70" t="s">
        <v>407</v>
      </c>
      <c r="B95" s="60" t="s">
        <v>367</v>
      </c>
      <c r="C95" s="61" t="s">
        <v>344</v>
      </c>
      <c r="D95" s="62" t="s">
        <v>492</v>
      </c>
      <c r="E95" s="60" t="s">
        <v>493</v>
      </c>
      <c r="F95" s="76">
        <v>-33.92859</v>
      </c>
      <c r="G95" s="76">
        <v>18.545110000000001</v>
      </c>
    </row>
    <row r="96" spans="1:7" ht="15" x14ac:dyDescent="0.25">
      <c r="A96" s="70" t="s">
        <v>407</v>
      </c>
      <c r="B96" s="60" t="s">
        <v>367</v>
      </c>
      <c r="C96" s="61" t="s">
        <v>345</v>
      </c>
      <c r="D96" s="62" t="s">
        <v>494</v>
      </c>
      <c r="E96" s="60" t="s">
        <v>495</v>
      </c>
      <c r="F96" s="76">
        <v>-33.999419000000003</v>
      </c>
      <c r="G96" s="76">
        <v>18.537839999999999</v>
      </c>
    </row>
    <row r="97" spans="1:7" ht="15" x14ac:dyDescent="0.25">
      <c r="A97" s="70" t="s">
        <v>407</v>
      </c>
      <c r="B97" s="60" t="s">
        <v>378</v>
      </c>
      <c r="C97" s="61" t="s">
        <v>496</v>
      </c>
      <c r="D97" s="62" t="s">
        <v>24</v>
      </c>
      <c r="E97" s="58" t="s">
        <v>497</v>
      </c>
      <c r="F97" s="76">
        <v>-29.145288999999998</v>
      </c>
      <c r="G97" s="76">
        <v>26.217904999999998</v>
      </c>
    </row>
    <row r="98" spans="1:7" ht="15" x14ac:dyDescent="0.25">
      <c r="A98" s="70" t="s">
        <v>407</v>
      </c>
      <c r="B98" s="60" t="s">
        <v>369</v>
      </c>
      <c r="C98" s="61" t="s">
        <v>340</v>
      </c>
      <c r="D98" s="62" t="s">
        <v>498</v>
      </c>
      <c r="E98" s="60" t="s">
        <v>211</v>
      </c>
      <c r="F98" s="76">
        <v>-28.779692000000001</v>
      </c>
      <c r="G98" s="76">
        <v>31.903569000000001</v>
      </c>
    </row>
    <row r="99" spans="1:7" ht="15" x14ac:dyDescent="0.25">
      <c r="A99" s="70" t="s">
        <v>407</v>
      </c>
      <c r="B99" s="60" t="s">
        <v>432</v>
      </c>
      <c r="C99" s="61" t="s">
        <v>499</v>
      </c>
      <c r="D99" s="62" t="s">
        <v>500</v>
      </c>
      <c r="E99" s="57" t="s">
        <v>501</v>
      </c>
      <c r="F99" s="76">
        <v>-28.440393</v>
      </c>
      <c r="G99" s="76">
        <v>21.234562</v>
      </c>
    </row>
    <row r="100" spans="1:7" ht="15" x14ac:dyDescent="0.25">
      <c r="A100" s="70" t="s">
        <v>407</v>
      </c>
      <c r="B100" s="60" t="s">
        <v>412</v>
      </c>
      <c r="C100" s="61" t="s">
        <v>323</v>
      </c>
      <c r="D100" s="62" t="s">
        <v>123</v>
      </c>
      <c r="E100" s="60" t="s">
        <v>124</v>
      </c>
      <c r="F100" s="76">
        <v>-33.013672</v>
      </c>
      <c r="G100" s="76">
        <v>27.898249</v>
      </c>
    </row>
    <row r="101" spans="1:7" ht="15" x14ac:dyDescent="0.2">
      <c r="A101" s="77" t="s">
        <v>502</v>
      </c>
      <c r="B101" s="77" t="s">
        <v>412</v>
      </c>
      <c r="C101" s="77"/>
      <c r="D101" s="59" t="s">
        <v>125</v>
      </c>
      <c r="E101" s="69" t="s">
        <v>126</v>
      </c>
      <c r="F101" s="76">
        <v>-30.861444299999999</v>
      </c>
      <c r="G101" s="76">
        <v>29.853833799999901</v>
      </c>
    </row>
    <row r="102" spans="1:7" ht="15" x14ac:dyDescent="0.2">
      <c r="A102" s="77" t="s">
        <v>502</v>
      </c>
      <c r="B102" s="77" t="s">
        <v>412</v>
      </c>
      <c r="C102" s="77"/>
      <c r="D102" s="59" t="s">
        <v>127</v>
      </c>
      <c r="E102" s="69" t="s">
        <v>128</v>
      </c>
      <c r="F102" s="76">
        <v>-33.018413500000001</v>
      </c>
      <c r="G102" s="76">
        <v>27.9031628</v>
      </c>
    </row>
    <row r="103" spans="1:7" ht="15" x14ac:dyDescent="0.25">
      <c r="A103" s="77" t="s">
        <v>502</v>
      </c>
      <c r="B103" s="70" t="s">
        <v>369</v>
      </c>
      <c r="C103" s="77"/>
      <c r="D103" s="59" t="s">
        <v>163</v>
      </c>
      <c r="E103" s="69" t="s">
        <v>230</v>
      </c>
      <c r="F103" s="76">
        <v>-29.647130000000001</v>
      </c>
      <c r="G103" s="76">
        <v>30.321802599999899</v>
      </c>
    </row>
    <row r="104" spans="1:7" ht="15" x14ac:dyDescent="0.25">
      <c r="A104" s="77" t="s">
        <v>502</v>
      </c>
      <c r="B104" s="70" t="s">
        <v>369</v>
      </c>
      <c r="C104" s="78"/>
      <c r="D104" s="59" t="s">
        <v>164</v>
      </c>
      <c r="E104" s="69" t="s">
        <v>231</v>
      </c>
      <c r="F104" s="76">
        <v>-30.573163000000001</v>
      </c>
      <c r="G104" s="76">
        <v>29.8821289999999</v>
      </c>
    </row>
    <row r="105" spans="1:7" ht="15" x14ac:dyDescent="0.2">
      <c r="A105" s="78" t="s">
        <v>502</v>
      </c>
      <c r="B105" s="77" t="s">
        <v>412</v>
      </c>
      <c r="C105" s="78"/>
      <c r="D105" s="59" t="s">
        <v>129</v>
      </c>
      <c r="E105" s="69" t="s">
        <v>130</v>
      </c>
      <c r="F105" s="76">
        <v>-32.877851999999997</v>
      </c>
      <c r="G105" s="76">
        <v>27.385182999999898</v>
      </c>
    </row>
    <row r="106" spans="1:7" ht="15" x14ac:dyDescent="0.25">
      <c r="A106" s="78" t="s">
        <v>502</v>
      </c>
      <c r="B106" s="70" t="s">
        <v>369</v>
      </c>
      <c r="C106" s="78"/>
      <c r="D106" s="59" t="s">
        <v>165</v>
      </c>
      <c r="E106" s="69" t="s">
        <v>232</v>
      </c>
      <c r="F106" s="76">
        <v>-30.552111</v>
      </c>
      <c r="G106" s="76">
        <v>29.427425999999901</v>
      </c>
    </row>
    <row r="107" spans="1:7" ht="15" x14ac:dyDescent="0.2">
      <c r="A107" s="78" t="s">
        <v>502</v>
      </c>
      <c r="B107" s="77" t="s">
        <v>412</v>
      </c>
      <c r="C107" s="78"/>
      <c r="D107" s="59" t="s">
        <v>131</v>
      </c>
      <c r="E107" s="69" t="s">
        <v>132</v>
      </c>
      <c r="F107" s="76">
        <v>-31.368774999999999</v>
      </c>
      <c r="G107" s="76">
        <v>29.5764859999999</v>
      </c>
    </row>
    <row r="108" spans="1:7" ht="15" x14ac:dyDescent="0.2">
      <c r="A108" s="78" t="s">
        <v>502</v>
      </c>
      <c r="B108" s="77" t="s">
        <v>412</v>
      </c>
      <c r="C108" s="78"/>
      <c r="D108" s="59" t="s">
        <v>133</v>
      </c>
      <c r="E108" s="69" t="s">
        <v>134</v>
      </c>
      <c r="F108" s="76">
        <v>-30.341111000000001</v>
      </c>
      <c r="G108" s="76">
        <v>28.810869</v>
      </c>
    </row>
    <row r="109" spans="1:7" ht="15" x14ac:dyDescent="0.2">
      <c r="A109" s="78" t="s">
        <v>502</v>
      </c>
      <c r="B109" s="77" t="s">
        <v>412</v>
      </c>
      <c r="C109" s="78"/>
      <c r="D109" s="59" t="s">
        <v>135</v>
      </c>
      <c r="E109" s="69" t="s">
        <v>136</v>
      </c>
      <c r="F109" s="76">
        <v>-30.339772</v>
      </c>
      <c r="G109" s="76">
        <v>28.809688000000001</v>
      </c>
    </row>
    <row r="110" spans="1:7" ht="15" x14ac:dyDescent="0.2">
      <c r="A110" s="78" t="s">
        <v>502</v>
      </c>
      <c r="B110" s="77" t="s">
        <v>412</v>
      </c>
      <c r="C110" s="78"/>
      <c r="D110" s="59" t="s">
        <v>137</v>
      </c>
      <c r="E110" s="69" t="s">
        <v>138</v>
      </c>
      <c r="F110" s="76">
        <v>-32.950000000000003</v>
      </c>
      <c r="G110" s="76">
        <v>27.766666699999899</v>
      </c>
    </row>
    <row r="111" spans="1:7" ht="15" x14ac:dyDescent="0.25">
      <c r="A111" s="78" t="s">
        <v>502</v>
      </c>
      <c r="B111" s="70" t="s">
        <v>369</v>
      </c>
      <c r="C111" s="78"/>
      <c r="D111" s="59" t="s">
        <v>166</v>
      </c>
      <c r="E111" s="69" t="s">
        <v>233</v>
      </c>
      <c r="F111" s="76">
        <v>-28.415659999999999</v>
      </c>
      <c r="G111" s="76">
        <v>32.187579899999903</v>
      </c>
    </row>
    <row r="112" spans="1:7" ht="15" x14ac:dyDescent="0.2">
      <c r="A112" s="78" t="s">
        <v>502</v>
      </c>
      <c r="B112" s="77" t="s">
        <v>412</v>
      </c>
      <c r="C112" s="78"/>
      <c r="D112" s="59" t="s">
        <v>139</v>
      </c>
      <c r="E112" s="69" t="s">
        <v>140</v>
      </c>
      <c r="F112" s="76">
        <v>-31.592972499999998</v>
      </c>
      <c r="G112" s="76">
        <v>28.7877426999999</v>
      </c>
    </row>
    <row r="113" spans="1:7" ht="15" x14ac:dyDescent="0.2">
      <c r="A113" s="78" t="s">
        <v>502</v>
      </c>
      <c r="B113" s="78" t="s">
        <v>369</v>
      </c>
      <c r="C113" s="78"/>
      <c r="D113" s="59" t="s">
        <v>167</v>
      </c>
      <c r="E113" s="69" t="s">
        <v>234</v>
      </c>
      <c r="F113" s="76">
        <v>-28.622270400000001</v>
      </c>
      <c r="G113" s="76">
        <v>31.091720500000001</v>
      </c>
    </row>
    <row r="114" spans="1:7" ht="15" x14ac:dyDescent="0.2">
      <c r="A114" s="78" t="s">
        <v>502</v>
      </c>
      <c r="B114" s="78" t="s">
        <v>369</v>
      </c>
      <c r="C114" s="78"/>
      <c r="D114" s="59" t="s">
        <v>168</v>
      </c>
      <c r="E114" s="69" t="s">
        <v>235</v>
      </c>
      <c r="F114" s="76">
        <v>-29.595459999999999</v>
      </c>
      <c r="G114" s="76">
        <v>30.384649999999901</v>
      </c>
    </row>
    <row r="115" spans="1:7" ht="15" x14ac:dyDescent="0.2">
      <c r="A115" s="78" t="s">
        <v>502</v>
      </c>
      <c r="B115" s="77" t="s">
        <v>412</v>
      </c>
      <c r="C115" s="78"/>
      <c r="D115" s="79" t="s">
        <v>141</v>
      </c>
      <c r="E115" s="80" t="s">
        <v>142</v>
      </c>
      <c r="F115" s="76">
        <v>-30.74062</v>
      </c>
      <c r="G115" s="76">
        <v>30.4485039999999</v>
      </c>
    </row>
    <row r="116" spans="1:7" ht="15" x14ac:dyDescent="0.2">
      <c r="A116" s="78" t="s">
        <v>502</v>
      </c>
      <c r="B116" s="77" t="s">
        <v>412</v>
      </c>
      <c r="C116" s="78"/>
      <c r="D116" s="79" t="s">
        <v>143</v>
      </c>
      <c r="E116" s="80" t="s">
        <v>144</v>
      </c>
      <c r="F116" s="76">
        <v>-31.163508</v>
      </c>
      <c r="G116" s="76">
        <v>28.8696179999999</v>
      </c>
    </row>
    <row r="117" spans="1:7" ht="15" x14ac:dyDescent="0.2">
      <c r="A117" s="78" t="s">
        <v>502</v>
      </c>
      <c r="B117" s="78" t="s">
        <v>369</v>
      </c>
      <c r="C117" s="78"/>
      <c r="D117" s="79" t="s">
        <v>169</v>
      </c>
      <c r="E117" s="80" t="s">
        <v>236</v>
      </c>
      <c r="F117" s="76">
        <v>-28.300993999999999</v>
      </c>
      <c r="G117" s="76">
        <v>31.422671000000001</v>
      </c>
    </row>
    <row r="118" spans="1:7" ht="15" x14ac:dyDescent="0.2">
      <c r="A118" s="78" t="s">
        <v>502</v>
      </c>
      <c r="B118" s="78" t="s">
        <v>369</v>
      </c>
      <c r="C118" s="78"/>
      <c r="D118" s="79" t="s">
        <v>170</v>
      </c>
      <c r="E118" s="80" t="s">
        <v>237</v>
      </c>
      <c r="F118" s="76">
        <v>-29.961182999999899</v>
      </c>
      <c r="G118" s="76">
        <v>30.896604</v>
      </c>
    </row>
    <row r="119" spans="1:7" ht="15" x14ac:dyDescent="0.2">
      <c r="A119" s="78" t="s">
        <v>502</v>
      </c>
      <c r="B119" s="78" t="s">
        <v>369</v>
      </c>
      <c r="C119" s="78"/>
      <c r="D119" s="79" t="s">
        <v>171</v>
      </c>
      <c r="E119" s="80" t="s">
        <v>238</v>
      </c>
      <c r="F119" s="76">
        <v>-30.260076899999898</v>
      </c>
      <c r="G119" s="76">
        <v>29.9414692</v>
      </c>
    </row>
    <row r="120" spans="1:7" ht="15" x14ac:dyDescent="0.2">
      <c r="A120" s="78" t="s">
        <v>502</v>
      </c>
      <c r="B120" s="78" t="s">
        <v>369</v>
      </c>
      <c r="C120" s="78"/>
      <c r="D120" s="79" t="s">
        <v>172</v>
      </c>
      <c r="E120" s="80" t="s">
        <v>239</v>
      </c>
      <c r="F120" s="76">
        <v>-30.304742999999998</v>
      </c>
      <c r="G120" s="76">
        <v>30.665903999999902</v>
      </c>
    </row>
    <row r="121" spans="1:7" ht="15" x14ac:dyDescent="0.2">
      <c r="A121" s="78" t="s">
        <v>502</v>
      </c>
      <c r="B121" s="77" t="s">
        <v>412</v>
      </c>
      <c r="C121" s="78"/>
      <c r="D121" s="79" t="s">
        <v>145</v>
      </c>
      <c r="E121" s="80" t="s">
        <v>146</v>
      </c>
      <c r="F121" s="76">
        <v>-31.081549199999898</v>
      </c>
      <c r="G121" s="76">
        <v>29.493899800000001</v>
      </c>
    </row>
    <row r="122" spans="1:7" ht="15" x14ac:dyDescent="0.2">
      <c r="A122" s="78" t="s">
        <v>502</v>
      </c>
      <c r="B122" s="77" t="s">
        <v>412</v>
      </c>
      <c r="C122" s="78"/>
      <c r="D122" s="79" t="s">
        <v>147</v>
      </c>
      <c r="E122" s="78" t="s">
        <v>148</v>
      </c>
      <c r="F122" s="76">
        <v>-30.909220000000001</v>
      </c>
      <c r="G122" s="76">
        <v>28.992791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SA Linked Stores</vt:lpstr>
      <vt:lpstr>.masterdata</vt:lpstr>
      <vt:lpstr>Masterdata</vt:lpstr>
      <vt:lpstr>Cambridge.</vt:lpstr>
      <vt:lpstr>Sheet1</vt:lpstr>
      <vt:lpstr>'SA Linked Stores'!Print_Area</vt:lpstr>
    </vt:vector>
  </TitlesOfParts>
  <Company>MC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Prabashnee Chetty</dc:creator>
  <cp:lastModifiedBy>Pieter Johansen</cp:lastModifiedBy>
  <cp:lastPrinted>2018-07-27T10:05:03Z</cp:lastPrinted>
  <dcterms:created xsi:type="dcterms:W3CDTF">2012-10-15T12:33:46Z</dcterms:created>
  <dcterms:modified xsi:type="dcterms:W3CDTF">2018-09-14T10:15:36Z</dcterms:modified>
</cp:coreProperties>
</file>